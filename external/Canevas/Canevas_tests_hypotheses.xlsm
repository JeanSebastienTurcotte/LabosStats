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godin365-my.sharepoint.com/personal/y_tawfik_cgodin_qc_ca/Documents/Documents/Laboratoires statistiques/Labos/Labo 6/Fichiers Vierges/"/>
    </mc:Choice>
  </mc:AlternateContent>
  <xr:revisionPtr revIDLastSave="213" documentId="13_ncr:1_{0932EC1D-04BD-44D8-ADF1-6D3F37AE34C9}" xr6:coauthVersionLast="47" xr6:coauthVersionMax="47" xr10:uidLastSave="{1F3F0402-7237-4619-98E3-F3C5DD9066C0}"/>
  <bookViews>
    <workbookView xWindow="-120" yWindow="-120" windowWidth="29040" windowHeight="15840" xr2:uid="{EF272980-F8A7-4B4E-A330-0C9D628AA93E}"/>
  </bookViews>
  <sheets>
    <sheet name="Une moyenne" sheetId="2" r:id="rId1"/>
    <sheet name="Une proportion (normale)" sheetId="3" r:id="rId2"/>
    <sheet name="2 moyennes indépendantes" sheetId="4" r:id="rId3"/>
    <sheet name="2 moyennes dépendantes" sheetId="7" r:id="rId4"/>
    <sheet name="2 proportions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7" l="1" a="1"/>
  <c r="C29" i="7" s="1"/>
  <c r="B38" i="7" s="1"/>
  <c r="C29" i="4" a="1"/>
  <c r="C29" i="4" s="1"/>
  <c r="C20" i="4" a="1"/>
  <c r="C20" i="4" s="1"/>
  <c r="C21" i="4" s="1" a="1"/>
  <c r="C21" i="4" s="1"/>
  <c r="D40" i="4" s="1" a="1"/>
  <c r="D40" i="4" s="1"/>
  <c r="F31" i="6" a="1"/>
  <c r="F31" i="6" s="1"/>
  <c r="D26" i="6" a="1"/>
  <c r="D26" i="6" s="1"/>
  <c r="F28" i="6" s="1" a="1"/>
  <c r="F28" i="6" s="1"/>
  <c r="C20" i="6"/>
  <c r="D37" i="6" s="1" a="1"/>
  <c r="D37" i="6" s="1"/>
  <c r="F32" i="7" a="1"/>
  <c r="F32" i="7" s="1"/>
  <c r="D27" i="7" a="1"/>
  <c r="D27" i="7" s="1"/>
  <c r="F29" i="7" s="1" a="1"/>
  <c r="F29" i="7" s="1"/>
  <c r="C20" i="7"/>
  <c r="D29" i="2" a="1"/>
  <c r="D29" i="2" s="1"/>
  <c r="D27" i="4" a="1"/>
  <c r="D27" i="4" s="1"/>
  <c r="F29" i="4" s="1" a="1"/>
  <c r="F29" i="4" s="1"/>
  <c r="F32" i="4" a="1"/>
  <c r="F32" i="4" s="1"/>
  <c r="F34" i="3" a="1"/>
  <c r="F34" i="3" s="1"/>
  <c r="C31" i="3" a="1"/>
  <c r="C31" i="3" s="1"/>
  <c r="B40" i="3" s="1" a="1"/>
  <c r="B40" i="3" s="1"/>
  <c r="D29" i="3" a="1"/>
  <c r="D29" i="3" s="1"/>
  <c r="G31" i="3" s="1" a="1"/>
  <c r="G31" i="3" s="1"/>
  <c r="E20" i="3" a="1"/>
  <c r="E20" i="3" s="1"/>
  <c r="C20" i="3" a="1"/>
  <c r="C20" i="3" s="1"/>
  <c r="F34" i="2" a="1"/>
  <c r="F34" i="2" s="1"/>
  <c r="C31" i="2" a="1"/>
  <c r="C31" i="2" s="1"/>
  <c r="E20" i="2" a="1"/>
  <c r="E20" i="2" s="1"/>
  <c r="C20" i="2" a="1"/>
  <c r="C20" i="2" s="1"/>
  <c r="E6" i="3" a="1"/>
  <c r="E6" i="3" s="1"/>
  <c r="E6" i="2" a="1"/>
  <c r="E6" i="2" s="1"/>
  <c r="D38" i="7" l="1" a="1"/>
  <c r="D38" i="7" s="1"/>
  <c r="D40" i="7" s="1" a="1"/>
  <c r="D40" i="7" s="1"/>
  <c r="D39" i="6" a="1"/>
  <c r="D39" i="6" s="1"/>
  <c r="D38" i="4" a="1"/>
  <c r="D38" i="4" s="1"/>
  <c r="B38" i="4" a="1"/>
  <c r="B38" i="4" s="1"/>
  <c r="C22" i="3" a="1"/>
  <c r="C22" i="3" s="1"/>
  <c r="D42" i="3" s="1" a="1"/>
  <c r="D42" i="3" s="1"/>
  <c r="F31" i="2" a="1"/>
  <c r="F31" i="2" s="1"/>
  <c r="B40" i="2" a="1"/>
  <c r="B40" i="2" s="1"/>
  <c r="D40" i="3" l="1" a="1"/>
  <c r="D40" i="3" s="1"/>
  <c r="C22" i="2" l="1" a="1"/>
  <c r="C22" i="2" s="1"/>
  <c r="D42" i="2" l="1" a="1"/>
  <c r="D42" i="2" s="1"/>
  <c r="D40" i="2" a="1"/>
  <c r="D4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<sst xmlns="http://schemas.openxmlformats.org/spreadsheetml/2006/main" count="225" uniqueCount="74">
  <si>
    <t>Test d'hypothèse sur une moyenne</t>
  </si>
  <si>
    <t xml:space="preserve">1) Hypothèses : </t>
  </si>
  <si>
    <r>
      <t>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    :</t>
    </r>
  </si>
  <si>
    <t>=</t>
  </si>
  <si>
    <r>
      <t>H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    : </t>
    </r>
  </si>
  <si>
    <t>≠</t>
  </si>
  <si>
    <t xml:space="preserve">2) Seuil et informations : </t>
  </si>
  <si>
    <t xml:space="preserve">α = </t>
  </si>
  <si>
    <t>N =</t>
  </si>
  <si>
    <t xml:space="preserve">n  = </t>
  </si>
  <si>
    <t>σ =</t>
  </si>
  <si>
    <t xml:space="preserve"> s  =</t>
  </si>
  <si>
    <t xml:space="preserve">3) Conditions d'application : </t>
  </si>
  <si>
    <t>4) Écart type         :</t>
  </si>
  <si>
    <t xml:space="preserve">20*n = </t>
  </si>
  <si>
    <t xml:space="preserve">5) Règle de décision : </t>
  </si>
  <si>
    <t>Student</t>
  </si>
  <si>
    <t xml:space="preserve">Méthode 1 (statistique du test) : </t>
  </si>
  <si>
    <t xml:space="preserve">Méthode 2 (valeur p) : </t>
  </si>
  <si>
    <t xml:space="preserve">6 ) Calcul de la statistique ou la valeur p : </t>
  </si>
  <si>
    <t xml:space="preserve">Méthode 1 (cote z ou t observée) : </t>
  </si>
  <si>
    <r>
      <t>z</t>
    </r>
    <r>
      <rPr>
        <vertAlign val="subscript"/>
        <sz val="12"/>
        <color theme="1"/>
        <rFont val="Calibri"/>
        <family val="2"/>
        <scheme val="minor"/>
      </rPr>
      <t>obs</t>
    </r>
    <r>
      <rPr>
        <sz val="12"/>
        <color theme="1"/>
        <rFont val="Calibri"/>
        <family val="2"/>
      </rPr>
      <t xml:space="preserve"> </t>
    </r>
  </si>
  <si>
    <t xml:space="preserve">7) Décision et conclusion : </t>
  </si>
  <si>
    <t xml:space="preserve">p = </t>
  </si>
  <si>
    <r>
      <t>On rejette 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si la valeur p est inférieure ou égale à </t>
    </r>
  </si>
  <si>
    <r>
      <t xml:space="preserve"> µ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 </t>
    </r>
  </si>
  <si>
    <r>
      <t>µ</t>
    </r>
    <r>
      <rPr>
        <vertAlign val="subscript"/>
        <sz val="12"/>
        <color theme="1"/>
        <rFont val="Calibri"/>
        <family val="2"/>
        <scheme val="minor"/>
      </rPr>
      <t>1</t>
    </r>
  </si>
  <si>
    <r>
      <t>n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 = </t>
    </r>
  </si>
  <si>
    <r>
      <t xml:space="preserve"> s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 =</t>
    </r>
  </si>
  <si>
    <r>
      <t>n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 = </t>
    </r>
  </si>
  <si>
    <r>
      <t xml:space="preserve"> s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 =</t>
    </r>
  </si>
  <si>
    <t xml:space="preserve">s = </t>
  </si>
  <si>
    <r>
      <rPr>
        <sz val="12"/>
        <color theme="1"/>
        <rFont val="Calibri"/>
        <family val="2"/>
      </rPr>
      <t>π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</t>
    </r>
  </si>
  <si>
    <r>
      <rPr>
        <sz val="12"/>
        <color theme="1"/>
        <rFont val="Calibri"/>
        <family val="2"/>
      </rPr>
      <t>π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</t>
    </r>
  </si>
  <si>
    <r>
      <t>p</t>
    </r>
    <r>
      <rPr>
        <vertAlign val="subscript"/>
        <sz val="12"/>
        <color theme="1"/>
        <rFont val="Calibri"/>
        <family val="2"/>
        <scheme val="minor"/>
      </rPr>
      <t xml:space="preserve">1 </t>
    </r>
    <r>
      <rPr>
        <sz val="12"/>
        <color theme="1"/>
        <rFont val="Calibri"/>
        <family val="2"/>
        <scheme val="minor"/>
      </rPr>
      <t>=</t>
    </r>
  </si>
  <si>
    <r>
      <t>p</t>
    </r>
    <r>
      <rPr>
        <vertAlign val="subscript"/>
        <sz val="12"/>
        <color theme="1"/>
        <rFont val="Calibri"/>
        <family val="2"/>
        <scheme val="minor"/>
      </rPr>
      <t xml:space="preserve">2 </t>
    </r>
    <r>
      <rPr>
        <sz val="12"/>
        <color theme="1"/>
        <rFont val="Calibri"/>
        <family val="2"/>
        <scheme val="minor"/>
      </rPr>
      <t>=</t>
    </r>
  </si>
  <si>
    <r>
      <t>n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= </t>
    </r>
  </si>
  <si>
    <t>Test d'hypothèse sur deux proportions (grands échantillons)</t>
  </si>
  <si>
    <t>Test d'hypothèse sur une proportion</t>
  </si>
  <si>
    <t>Test d'hypothèse sur deux moyennes dépendantes (sur des données appariées)</t>
  </si>
  <si>
    <r>
      <t xml:space="preserve"> s</t>
    </r>
    <r>
      <rPr>
        <vertAlign val="subscript"/>
        <sz val="12"/>
        <color theme="1"/>
        <rFont val="Calibri"/>
        <family val="2"/>
        <scheme val="minor"/>
      </rPr>
      <t>D</t>
    </r>
    <r>
      <rPr>
        <sz val="12"/>
        <color theme="1"/>
        <rFont val="Calibri"/>
        <family val="2"/>
        <scheme val="minor"/>
      </rPr>
      <t xml:space="preserve">  =</t>
    </r>
  </si>
  <si>
    <t>4) Écart type                :</t>
  </si>
  <si>
    <t>4) Écart type                  :</t>
  </si>
  <si>
    <t>α =</t>
  </si>
  <si>
    <t>valeur p</t>
  </si>
  <si>
    <t>&lt;</t>
  </si>
  <si>
    <t>&gt;</t>
  </si>
  <si>
    <t xml:space="preserve">µ         </t>
  </si>
  <si>
    <t xml:space="preserve">    µ         </t>
  </si>
  <si>
    <t>Normale</t>
  </si>
  <si>
    <t>est</t>
  </si>
  <si>
    <r>
      <t>On rejette 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si  </t>
    </r>
  </si>
  <si>
    <r>
      <t>z</t>
    </r>
    <r>
      <rPr>
        <vertAlign val="subscript"/>
        <sz val="11"/>
        <color theme="1"/>
        <rFont val="Calibri"/>
        <family val="2"/>
        <scheme val="minor"/>
      </rPr>
      <t>α</t>
    </r>
  </si>
  <si>
    <r>
      <t>z</t>
    </r>
    <r>
      <rPr>
        <vertAlign val="subscript"/>
        <sz val="11"/>
        <color theme="1"/>
        <rFont val="Calibri"/>
        <family val="2"/>
        <scheme val="minor"/>
      </rPr>
      <t>α/2</t>
    </r>
  </si>
  <si>
    <r>
      <t>-z</t>
    </r>
    <r>
      <rPr>
        <vertAlign val="subscript"/>
        <sz val="11"/>
        <color theme="1"/>
        <rFont val="Calibri"/>
        <family val="2"/>
        <scheme val="minor"/>
      </rPr>
      <t>α</t>
    </r>
  </si>
  <si>
    <r>
      <t>-t</t>
    </r>
    <r>
      <rPr>
        <vertAlign val="subscript"/>
        <sz val="11"/>
        <color theme="1"/>
        <rFont val="Calibri"/>
        <family val="2"/>
        <scheme val="minor"/>
      </rPr>
      <t>α</t>
    </r>
  </si>
  <si>
    <r>
      <rPr>
        <sz val="11"/>
        <color theme="1"/>
        <rFont val="Calibri"/>
        <family val="2"/>
        <scheme val="minor"/>
      </rPr>
      <t>t</t>
    </r>
    <r>
      <rPr>
        <vertAlign val="subscript"/>
        <sz val="11"/>
        <color theme="1"/>
        <rFont val="Calibri"/>
        <family val="2"/>
        <scheme val="minor"/>
      </rPr>
      <t>α</t>
    </r>
  </si>
  <si>
    <r>
      <t>t</t>
    </r>
    <r>
      <rPr>
        <vertAlign val="subscript"/>
        <sz val="11"/>
        <color theme="1"/>
        <rFont val="Calibri"/>
        <family val="2"/>
        <scheme val="minor"/>
      </rPr>
      <t>α/2</t>
    </r>
  </si>
  <si>
    <t xml:space="preserve">π         </t>
  </si>
  <si>
    <t xml:space="preserve"> π         </t>
  </si>
  <si>
    <t xml:space="preserve">que </t>
  </si>
  <si>
    <r>
      <t>On rejette 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si</t>
    </r>
  </si>
  <si>
    <t xml:space="preserve">Test d'hypothèse sur deux moyennes indépendantes </t>
  </si>
  <si>
    <r>
      <t>µ</t>
    </r>
    <r>
      <rPr>
        <vertAlign val="subscript"/>
        <sz val="12"/>
        <color theme="1"/>
        <rFont val="Calibri"/>
        <family val="2"/>
        <scheme val="minor"/>
      </rPr>
      <t>D</t>
    </r>
    <r>
      <rPr>
        <sz val="12"/>
        <color theme="1"/>
        <rFont val="Calibri"/>
        <family val="2"/>
        <scheme val="minor"/>
      </rPr>
      <t xml:space="preserve">       </t>
    </r>
  </si>
  <si>
    <r>
      <t>µ</t>
    </r>
    <r>
      <rPr>
        <vertAlign val="subscript"/>
        <sz val="12"/>
        <color theme="1"/>
        <rFont val="Calibri"/>
        <family val="2"/>
        <scheme val="minor"/>
      </rPr>
      <t xml:space="preserve">D         </t>
    </r>
  </si>
  <si>
    <r>
      <t>µ</t>
    </r>
    <r>
      <rPr>
        <vertAlign val="subscript"/>
        <sz val="12"/>
        <color theme="1"/>
        <rFont val="Calibri"/>
        <family val="2"/>
        <scheme val="minor"/>
      </rPr>
      <t xml:space="preserve">1         </t>
    </r>
    <r>
      <rPr>
        <sz val="12"/>
        <color theme="1"/>
        <rFont val="Calibri"/>
        <family val="2"/>
        <scheme val="minor"/>
      </rPr>
      <t xml:space="preserve"> </t>
    </r>
  </si>
  <si>
    <r>
      <t>z</t>
    </r>
    <r>
      <rPr>
        <vertAlign val="subscript"/>
        <sz val="12"/>
        <color theme="1"/>
        <rFont val="Calibri"/>
        <family val="2"/>
        <scheme val="minor"/>
      </rPr>
      <t>obs</t>
    </r>
  </si>
  <si>
    <t xml:space="preserve">Loi : </t>
  </si>
  <si>
    <t xml:space="preserve">n = </t>
  </si>
  <si>
    <t xml:space="preserve">car  </t>
  </si>
  <si>
    <t xml:space="preserve">car </t>
  </si>
  <si>
    <t>plus petite que</t>
  </si>
  <si>
    <t>plus grande que</t>
  </si>
  <si>
    <t>différente 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</si>
</sst>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"/>
  </numFmts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4" fillId="2" borderId="7" xfId="0" applyFont="1" applyFill="1" applyBorder="1"/>
    <xf numFmtId="0" fontId="5" fillId="0" borderId="0" xfId="0" applyFont="1" applyAlignment="1">
      <alignment horizontal="right"/>
    </xf>
    <xf numFmtId="0" fontId="5" fillId="0" borderId="0" xfId="0" applyFont="1"/>
    <xf numFmtId="0" fontId="5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5" fillId="0" borderId="0" xfId="0" applyFont="1" applyAlignment="1">
      <alignment horizontal="right" vertical="center"/>
    </xf>
    <xf numFmtId="0" fontId="8" fillId="0" borderId="0" xfId="0" applyFont="1" applyAlignment="1">
      <alignment horizontal="right" vertical="center"/>
    </xf>
    <xf numFmtId="164" fontId="5" fillId="0" borderId="0" xfId="0" applyNumberFormat="1" applyFont="1" applyAlignment="1">
      <alignment horizontal="right" vertical="center"/>
    </xf>
    <xf numFmtId="0" fontId="1" fillId="0" borderId="0" xfId="0" applyFont="1"/>
    <xf numFmtId="0" fontId="7" fillId="0" borderId="0" xfId="0" applyFont="1"/>
    <xf numFmtId="49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2" borderId="7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5" fillId="0" borderId="0" xfId="0" applyFont="1" applyBorder="1"/>
    <xf numFmtId="0" fontId="0" fillId="0" borderId="0" xfId="0" applyBorder="1"/>
    <xf numFmtId="0" fontId="7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/>
    <xf numFmtId="0" fontId="7" fillId="0" borderId="0" xfId="0" applyFont="1" applyFill="1" applyAlignment="1">
      <alignment horizontal="center"/>
    </xf>
    <xf numFmtId="0" fontId="4" fillId="0" borderId="0" xfId="0" applyFont="1" applyFill="1" applyBorder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right" vertical="center"/>
    </xf>
    <xf numFmtId="164" fontId="5" fillId="0" borderId="0" xfId="0" applyNumberFormat="1" applyFont="1" applyBorder="1" applyAlignment="1">
      <alignment horizontal="right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0" fontId="0" fillId="0" borderId="0" xfId="0" applyAlignment="1">
      <alignment horizontal="right"/>
    </xf>
    <xf numFmtId="0" fontId="5" fillId="0" borderId="0" xfId="0" applyFont="1" applyAlignment="1"/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NumberFormat="1"/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0" fontId="0" fillId="4" borderId="0" xfId="0" applyFill="1" applyBorder="1"/>
    <xf numFmtId="0" fontId="5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right"/>
    </xf>
    <xf numFmtId="0" fontId="5" fillId="4" borderId="0" xfId="0" applyFont="1" applyFill="1" applyAlignment="1">
      <alignment horizontal="center"/>
    </xf>
    <xf numFmtId="0" fontId="5" fillId="4" borderId="0" xfId="0" applyFont="1" applyFill="1" applyAlignment="1">
      <alignment horizontal="right"/>
    </xf>
    <xf numFmtId="0" fontId="0" fillId="4" borderId="0" xfId="0" applyFill="1"/>
    <xf numFmtId="0" fontId="0" fillId="4" borderId="0" xfId="0" applyFill="1" applyAlignment="1">
      <alignment horizontal="center"/>
    </xf>
    <xf numFmtId="49" fontId="7" fillId="4" borderId="0" xfId="0" applyNumberFormat="1" applyFont="1" applyFill="1" applyAlignment="1">
      <alignment horizontal="center"/>
    </xf>
    <xf numFmtId="0" fontId="8" fillId="4" borderId="0" xfId="0" applyFont="1" applyFill="1" applyAlignment="1">
      <alignment horizontal="right"/>
    </xf>
    <xf numFmtId="0" fontId="0" fillId="4" borderId="0" xfId="0" applyFill="1" applyBorder="1" applyAlignment="1" applyProtection="1">
      <alignment horizontal="center"/>
    </xf>
    <xf numFmtId="0" fontId="0" fillId="4" borderId="0" xfId="0" applyFill="1" applyBorder="1" applyProtection="1"/>
    <xf numFmtId="0" fontId="11" fillId="4" borderId="0" xfId="0" applyFont="1" applyFill="1" applyBorder="1" applyAlignment="1" applyProtection="1">
      <alignment horizontal="center"/>
    </xf>
    <xf numFmtId="0" fontId="11" fillId="4" borderId="0" xfId="0" applyFont="1" applyFill="1" applyAlignment="1" applyProtection="1">
      <alignment horizontal="right"/>
    </xf>
    <xf numFmtId="49" fontId="0" fillId="0" borderId="0" xfId="0" applyNumberFormat="1" applyAlignment="1" applyProtection="1">
      <alignment horizontal="center"/>
    </xf>
    <xf numFmtId="0" fontId="5" fillId="3" borderId="7" xfId="0" applyFont="1" applyFill="1" applyBorder="1" applyAlignment="1" applyProtection="1">
      <alignment horizontal="center"/>
      <protection locked="0"/>
    </xf>
    <xf numFmtId="0" fontId="8" fillId="3" borderId="7" xfId="0" applyFont="1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5" fillId="3" borderId="7" xfId="0" applyFont="1" applyFill="1" applyBorder="1" applyAlignment="1" applyProtection="1">
      <alignment horizontal="right"/>
      <protection locked="0"/>
    </xf>
    <xf numFmtId="0" fontId="5" fillId="3" borderId="7" xfId="0" applyFont="1" applyFill="1" applyBorder="1" applyAlignment="1" applyProtection="1">
      <protection locked="0"/>
    </xf>
    <xf numFmtId="0" fontId="8" fillId="3" borderId="7" xfId="0" applyFont="1" applyFill="1" applyBorder="1" applyAlignment="1" applyProtection="1">
      <alignment horizontal="right"/>
      <protection locked="0"/>
    </xf>
    <xf numFmtId="0" fontId="0" fillId="3" borderId="7" xfId="0" applyFill="1" applyBorder="1" applyProtection="1">
      <protection locked="0"/>
    </xf>
    <xf numFmtId="165" fontId="0" fillId="4" borderId="0" xfId="0" applyNumberFormat="1" applyFill="1" applyBorder="1" applyAlignment="1" applyProtection="1">
      <alignment horizontal="center"/>
    </xf>
    <xf numFmtId="0" fontId="0" fillId="0" borderId="0" xfId="0" applyFill="1" applyBorder="1" applyAlignment="1">
      <alignment horizontal="center"/>
    </xf>
    <xf numFmtId="0" fontId="0" fillId="3" borderId="1" xfId="0" applyFill="1" applyBorder="1" applyAlignment="1" applyProtection="1">
      <alignment horizontal="center" wrapText="1"/>
      <protection locked="0"/>
    </xf>
    <xf numFmtId="0" fontId="0" fillId="3" borderId="2" xfId="0" applyFill="1" applyBorder="1" applyAlignment="1" applyProtection="1">
      <alignment horizontal="center" wrapText="1"/>
      <protection locked="0"/>
    </xf>
    <xf numFmtId="0" fontId="0" fillId="3" borderId="3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0" xfId="0" applyFill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5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425450</xdr:colOff>
      <xdr:row>8</xdr:row>
      <xdr:rowOff>25400</xdr:rowOff>
    </xdr:from>
    <xdr:ext cx="37648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5403850" y="1625600"/>
              <a:ext cx="37648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BAC328CA-C5E9-4A70-B176-98DE0F653760}"/>
                </a:ext>
              </a:extLst>
            </xdr:cNvPr>
            <xdr:cNvSpPr txBox="1"/>
          </xdr:nvSpPr>
          <xdr:spPr>
            <a:xfrm>
              <a:off x="5403850" y="1625600"/>
              <a:ext cx="37648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b="0" i="0">
                  <a:latin typeface="Cambria Math" panose="02040503050406030204" pitchFamily="18" charset="0"/>
                </a:rPr>
                <a:t>𝑥 ̅=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1</xdr:col>
      <xdr:colOff>469900</xdr:colOff>
      <xdr:row>21</xdr:row>
      <xdr:rowOff>19050</xdr:rowOff>
    </xdr:from>
    <xdr:ext cx="26302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3162300" y="4140200"/>
              <a:ext cx="2630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1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1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</m:sub>
                  </m:sSub>
                </m:oMath>
              </a14:m>
              <a:r>
                <a:rPr lang="fr-CA" sz="1100"/>
                <a:t>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D9EDD53D-57BA-4464-BD1E-614203B9E10C}"/>
                </a:ext>
              </a:extLst>
            </xdr:cNvPr>
            <xdr:cNvSpPr txBox="1"/>
          </xdr:nvSpPr>
          <xdr:spPr>
            <a:xfrm>
              <a:off x="3162300" y="4140200"/>
              <a:ext cx="2630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</a:rPr>
                <a:t>𝑋 ̅ </a:t>
              </a:r>
              <a:r>
                <a:rPr lang="fr-CA" sz="1100"/>
                <a:t> =</a:t>
              </a:r>
            </a:p>
          </xdr:txBody>
        </xdr:sp>
      </mc:Fallback>
    </mc:AlternateContent>
    <xdr:clientData/>
  </xdr:oneCellAnchor>
  <xdr:oneCellAnchor>
    <xdr:from>
      <xdr:col>0</xdr:col>
      <xdr:colOff>844550</xdr:colOff>
      <xdr:row>19</xdr:row>
      <xdr:rowOff>6350</xdr:rowOff>
    </xdr:from>
    <xdr:ext cx="19274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844550" y="3733800"/>
              <a:ext cx="1927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1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1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</m:sub>
                  </m:sSub>
                </m:oMath>
              </a14:m>
              <a:r>
                <a:rPr lang="fr-CA" sz="1100"/>
                <a:t> </a:t>
              </a:r>
            </a:p>
          </xdr:txBody>
        </xdr:sp>
      </mc:Choice>
      <mc:Fallback xmlns="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C224A216-6DA0-4725-99F9-973369CDC2F1}"/>
                </a:ext>
              </a:extLst>
            </xdr:cNvPr>
            <xdr:cNvSpPr txBox="1"/>
          </xdr:nvSpPr>
          <xdr:spPr>
            <a:xfrm>
              <a:off x="844550" y="3733800"/>
              <a:ext cx="1927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</a:rPr>
                <a:t>𝑋 ̅ </a:t>
              </a:r>
              <a:r>
                <a:rPr lang="fr-CA" sz="1100"/>
                <a:t>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9525</xdr:rowOff>
        </xdr:from>
        <xdr:to>
          <xdr:col>9</xdr:col>
          <xdr:colOff>19050</xdr:colOff>
          <xdr:row>6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819150</xdr:colOff>
      <xdr:row>21</xdr:row>
      <xdr:rowOff>0</xdr:rowOff>
    </xdr:from>
    <xdr:ext cx="24987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3511550" y="4127500"/>
              <a:ext cx="2498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</m:sub>
                  </m:sSub>
                </m:oMath>
              </a14:m>
              <a:r>
                <a:rPr lang="fr-CA" sz="1100"/>
                <a:t> =</a:t>
              </a: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A222A30B-F4E1-46BC-AD2D-5933CB47A1B9}"/>
                </a:ext>
              </a:extLst>
            </xdr:cNvPr>
            <xdr:cNvSpPr txBox="1"/>
          </xdr:nvSpPr>
          <xdr:spPr>
            <a:xfrm>
              <a:off x="3511550" y="4127500"/>
              <a:ext cx="2498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100"/>
                <a:t> =</a:t>
              </a:r>
            </a:p>
          </xdr:txBody>
        </xdr:sp>
      </mc:Fallback>
    </mc:AlternateContent>
    <xdr:clientData/>
  </xdr:oneCellAnchor>
  <xdr:oneCellAnchor>
    <xdr:from>
      <xdr:col>0</xdr:col>
      <xdr:colOff>908050</xdr:colOff>
      <xdr:row>18</xdr:row>
      <xdr:rowOff>184150</xdr:rowOff>
    </xdr:from>
    <xdr:ext cx="17960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908050" y="3714750"/>
              <a:ext cx="1796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</m:sub>
                  </m:sSub>
                </m:oMath>
              </a14:m>
              <a:r>
                <a:rPr lang="fr-CA" sz="1100"/>
                <a:t> </a:t>
              </a: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5E51024A-092B-4E90-A9D5-BF0580DC4D57}"/>
                </a:ext>
              </a:extLst>
            </xdr:cNvPr>
            <xdr:cNvSpPr txBox="1"/>
          </xdr:nvSpPr>
          <xdr:spPr>
            <a:xfrm>
              <a:off x="908050" y="3714750"/>
              <a:ext cx="1796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100"/>
                <a:t>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19050</xdr:rowOff>
        </xdr:from>
        <xdr:to>
          <xdr:col>8</xdr:col>
          <xdr:colOff>742950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425450</xdr:colOff>
      <xdr:row>8</xdr:row>
      <xdr:rowOff>25400</xdr:rowOff>
    </xdr:from>
    <xdr:ext cx="376489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fr-CA" sz="1100" b="0" i="1" baseline="-25000">
                            <a:latin typeface="Cambria Math" panose="02040503050406030204" pitchFamily="18" charset="0"/>
                          </a:rPr>
                          <m:t>1</m:t>
                        </m:r>
                      </m:e>
                    </m:acc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D97A1CF9-12B8-481C-B0DC-5B685FD4BC6A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i="0">
                  <a:latin typeface="Cambria Math" panose="02040503050406030204" pitchFamily="18" charset="0"/>
                </a:rPr>
                <a:t>(</a:t>
              </a:r>
              <a:r>
                <a:rPr lang="fr-CA" sz="1100" b="0" i="0">
                  <a:latin typeface="Cambria Math" panose="02040503050406030204" pitchFamily="18" charset="0"/>
                </a:rPr>
                <a:t>𝑥</a:t>
              </a:r>
              <a:r>
                <a:rPr lang="fr-CA" sz="1100" b="0" i="0" baseline="-25000">
                  <a:latin typeface="Cambria Math" panose="02040503050406030204" pitchFamily="18" charset="0"/>
                </a:rPr>
                <a:t>1) ̅</a:t>
              </a:r>
              <a:r>
                <a:rPr lang="fr-CA" sz="1100" b="0" i="0">
                  <a:latin typeface="Cambria Math" panose="02040503050406030204" pitchFamily="18" charset="0"/>
                </a:rPr>
                <a:t>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1</xdr:col>
      <xdr:colOff>311150</xdr:colOff>
      <xdr:row>20</xdr:row>
      <xdr:rowOff>6350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3003550" y="40068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acc>
                        <m:accPr>
                          <m:chr m:val="̅"/>
                          <m:ctrlPr>
                            <a:rPr lang="fr-CA" sz="1200" b="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97EE1C31-ED11-49EF-BA95-E1D1723EBD57}"/>
                </a:ext>
              </a:extLst>
            </xdr:cNvPr>
            <xdr:cNvSpPr txBox="1"/>
          </xdr:nvSpPr>
          <xdr:spPr>
            <a:xfrm>
              <a:off x="3003550" y="40068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</a:rPr>
                <a:t>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 =</a:t>
              </a:r>
            </a:p>
          </xdr:txBody>
        </xdr:sp>
      </mc:Fallback>
    </mc:AlternateContent>
    <xdr:clientData/>
  </xdr:oneCellAnchor>
  <xdr:oneCellAnchor>
    <xdr:from>
      <xdr:col>7</xdr:col>
      <xdr:colOff>425450</xdr:colOff>
      <xdr:row>8</xdr:row>
      <xdr:rowOff>25400</xdr:rowOff>
    </xdr:from>
    <xdr:ext cx="376489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fr-CA" sz="1100" b="0" i="1" baseline="-25000">
                            <a:latin typeface="Cambria Math" panose="02040503050406030204" pitchFamily="18" charset="0"/>
                          </a:rPr>
                          <m:t>2</m:t>
                        </m:r>
                      </m:e>
                    </m:acc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3CC125D3-B68B-41E0-B8EB-680BC7CC37B9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i="0">
                  <a:latin typeface="Cambria Math" panose="02040503050406030204" pitchFamily="18" charset="0"/>
                </a:rPr>
                <a:t>(</a:t>
              </a:r>
              <a:r>
                <a:rPr lang="fr-CA" sz="1100" b="0" i="0">
                  <a:latin typeface="Cambria Math" panose="02040503050406030204" pitchFamily="18" charset="0"/>
                </a:rPr>
                <a:t>𝑥</a:t>
              </a:r>
              <a:r>
                <a:rPr lang="fr-CA" sz="1100" b="0" i="0" baseline="-25000">
                  <a:latin typeface="Cambria Math" panose="02040503050406030204" pitchFamily="18" charset="0"/>
                </a:rPr>
                <a:t>2) ̅</a:t>
              </a:r>
              <a:r>
                <a:rPr lang="fr-CA" sz="1100" b="0" i="0">
                  <a:latin typeface="Cambria Math" panose="02040503050406030204" pitchFamily="18" charset="0"/>
                </a:rPr>
                <a:t>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0</xdr:col>
      <xdr:colOff>869950</xdr:colOff>
      <xdr:row>18</xdr:row>
      <xdr:rowOff>152400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69950" y="37401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acc>
                        <m:accPr>
                          <m:chr m:val="̅"/>
                          <m:ctrlPr>
                            <a:rPr lang="fr-CA" sz="1200" b="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</a:t>
              </a: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3A6C5E7D-0FE1-45CA-9A5E-B6F5A6E9009B}"/>
                </a:ext>
              </a:extLst>
            </xdr:cNvPr>
            <xdr:cNvSpPr txBox="1"/>
          </xdr:nvSpPr>
          <xdr:spPr>
            <a:xfrm>
              <a:off x="869950" y="37401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</a:rPr>
                <a:t>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3</xdr:row>
          <xdr:rowOff>0</xdr:rowOff>
        </xdr:from>
        <xdr:to>
          <xdr:col>9</xdr:col>
          <xdr:colOff>9525</xdr:colOff>
          <xdr:row>6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425450</xdr:colOff>
      <xdr:row>8</xdr:row>
      <xdr:rowOff>25400</xdr:rowOff>
    </xdr:from>
    <xdr:ext cx="376489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  <m:r>
                      <a:rPr lang="fr-CA" sz="1100" b="0" i="1" baseline="-25000">
                        <a:latin typeface="Cambria Math" panose="02040503050406030204" pitchFamily="18" charset="0"/>
                      </a:rPr>
                      <m:t>𝐷</m:t>
                    </m:r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A3480BE1-FAAC-4226-9749-1E963D1D05A4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b="0" i="0">
                  <a:latin typeface="Cambria Math" panose="02040503050406030204" pitchFamily="18" charset="0"/>
                </a:rPr>
                <a:t>𝑥 ̅</a:t>
              </a:r>
              <a:r>
                <a:rPr lang="fr-CA" sz="1100" b="0" i="0" baseline="-25000">
                  <a:latin typeface="Cambria Math" panose="02040503050406030204" pitchFamily="18" charset="0"/>
                </a:rPr>
                <a:t>𝐷</a:t>
              </a:r>
              <a:r>
                <a:rPr lang="fr-CA" sz="1100" b="0" i="0">
                  <a:latin typeface="Cambria Math" panose="02040503050406030204" pitchFamily="18" charset="0"/>
                </a:rPr>
                <a:t>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1</xdr:col>
      <xdr:colOff>342900</xdr:colOff>
      <xdr:row>19</xdr:row>
      <xdr:rowOff>19050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3035300" y="37973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𝐷</m:t>
                          </m:r>
                        </m:e>
                      </m:acc>
                    </m:sub>
                  </m:sSub>
                </m:oMath>
              </a14:m>
              <a:r>
                <a:rPr lang="fr-CA" sz="1200"/>
                <a:t>  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575F45A4-8F9D-46E7-A535-2633EDA56865}"/>
                </a:ext>
              </a:extLst>
            </xdr:cNvPr>
            <xdr:cNvSpPr txBox="1"/>
          </xdr:nvSpPr>
          <xdr:spPr>
            <a:xfrm>
              <a:off x="3035300" y="37973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200" b="0" i="0">
                  <a:latin typeface="Cambria Math" panose="02040503050406030204" pitchFamily="18" charset="0"/>
                </a:rPr>
                <a:t>𝐷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 </a:t>
              </a:r>
              <a:r>
                <a:rPr lang="fr-CA" sz="1200"/>
                <a:t>   =</a:t>
              </a:r>
            </a:p>
          </xdr:txBody>
        </xdr:sp>
      </mc:Fallback>
    </mc:AlternateContent>
    <xdr:clientData/>
  </xdr:oneCellAnchor>
  <xdr:oneCellAnchor>
    <xdr:from>
      <xdr:col>0</xdr:col>
      <xdr:colOff>889000</xdr:colOff>
      <xdr:row>18</xdr:row>
      <xdr:rowOff>171450</xdr:rowOff>
    </xdr:from>
    <xdr:ext cx="298450" cy="2603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889000" y="3759200"/>
              <a:ext cx="298450" cy="260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𝐷</m:t>
                          </m:r>
                        </m:e>
                      </m:acc>
                    </m:sub>
                  </m:sSub>
                </m:oMath>
              </a14:m>
              <a:r>
                <a:rPr lang="fr-CA" sz="1200"/>
                <a:t>  </a:t>
              </a: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F16080C4-F34F-4C8D-88DD-7C26384EF5E5}"/>
                </a:ext>
              </a:extLst>
            </xdr:cNvPr>
            <xdr:cNvSpPr txBox="1"/>
          </xdr:nvSpPr>
          <xdr:spPr>
            <a:xfrm>
              <a:off x="889000" y="3759200"/>
              <a:ext cx="298450" cy="260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200" b="0" i="0">
                  <a:latin typeface="Cambria Math" panose="02040503050406030204" pitchFamily="18" charset="0"/>
                </a:rPr>
                <a:t>𝐷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 </a:t>
              </a:r>
              <a:r>
                <a:rPr lang="fr-CA" sz="1200"/>
                <a:t> 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9525</xdr:rowOff>
        </xdr:from>
        <xdr:to>
          <xdr:col>9</xdr:col>
          <xdr:colOff>19050</xdr:colOff>
          <xdr:row>6</xdr:row>
          <xdr:rowOff>19050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82550</xdr:colOff>
      <xdr:row>18</xdr:row>
      <xdr:rowOff>171450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2774950" y="37592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D94B06D1-1DA2-4137-8659-9F3D6FE79235}"/>
                </a:ext>
              </a:extLst>
            </xdr:cNvPr>
            <xdr:cNvSpPr txBox="1"/>
          </xdr:nvSpPr>
          <xdr:spPr>
            <a:xfrm>
              <a:off x="2774950" y="37592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 =</a:t>
              </a:r>
            </a:p>
          </xdr:txBody>
        </xdr:sp>
      </mc:Fallback>
    </mc:AlternateContent>
    <xdr:clientData/>
  </xdr:oneCellAnchor>
  <xdr:oneCellAnchor>
    <xdr:from>
      <xdr:col>0</xdr:col>
      <xdr:colOff>933450</xdr:colOff>
      <xdr:row>18</xdr:row>
      <xdr:rowOff>152400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933450" y="37338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</a:t>
              </a: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180EC9CC-EA9E-4C3F-8507-BA1D2BF193C1}"/>
                </a:ext>
              </a:extLst>
            </xdr:cNvPr>
            <xdr:cNvSpPr txBox="1"/>
          </xdr:nvSpPr>
          <xdr:spPr>
            <a:xfrm>
              <a:off x="933450" y="37338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28575</xdr:rowOff>
        </xdr:from>
        <xdr:to>
          <xdr:col>8</xdr:col>
          <xdr:colOff>733425</xdr:colOff>
          <xdr:row>5</xdr:row>
          <xdr:rowOff>219075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E8FAE-502B-4CFC-A392-9B845ADDD269}">
  <sheetPr codeName="Feuil1"/>
  <dimension ref="A1:Y50"/>
  <sheetViews>
    <sheetView tabSelected="1" zoomScale="110" zoomScaleNormal="110" workbookViewId="0">
      <selection sqref="A1:I2"/>
    </sheetView>
  </sheetViews>
  <sheetFormatPr baseColWidth="10" defaultRowHeight="15" x14ac:dyDescent="0.25"/>
  <cols>
    <col min="1" max="1" width="38.5703125" bestFit="1" customWidth="1"/>
    <col min="2" max="2" width="15.140625" customWidth="1"/>
    <col min="4" max="4" width="11.42578125" customWidth="1"/>
    <col min="5" max="5" width="14.140625" bestFit="1" customWidth="1"/>
    <col min="9" max="9" width="10.85546875" customWidth="1"/>
    <col min="25" max="25" width="12.140625" hidden="1" customWidth="1"/>
  </cols>
  <sheetData>
    <row r="1" spans="1:25" ht="14.45" customHeight="1" x14ac:dyDescent="0.25">
      <c r="A1" s="76" t="s">
        <v>0</v>
      </c>
      <c r="B1" s="77"/>
      <c r="C1" s="77"/>
      <c r="D1" s="77"/>
      <c r="E1" s="77"/>
      <c r="F1" s="77"/>
      <c r="G1" s="77"/>
      <c r="H1" s="77"/>
      <c r="I1" s="78"/>
    </row>
    <row r="2" spans="1:25" ht="15" customHeight="1" thickBot="1" x14ac:dyDescent="0.3">
      <c r="A2" s="79"/>
      <c r="B2" s="80"/>
      <c r="C2" s="80"/>
      <c r="D2" s="80"/>
      <c r="E2" s="80"/>
      <c r="F2" s="80"/>
      <c r="G2" s="80"/>
      <c r="H2" s="80"/>
      <c r="I2" s="81"/>
    </row>
    <row r="4" spans="1:25" ht="15.75" thickBot="1" x14ac:dyDescent="0.3">
      <c r="Y4" t="s">
        <v>45</v>
      </c>
    </row>
    <row r="5" spans="1:25" ht="19.5" thickBot="1" x14ac:dyDescent="0.4">
      <c r="A5" s="1" t="s">
        <v>1</v>
      </c>
      <c r="B5" s="2" t="s">
        <v>2</v>
      </c>
      <c r="C5" s="47" t="s">
        <v>47</v>
      </c>
      <c r="D5" s="50" t="s">
        <v>3</v>
      </c>
      <c r="E5" s="57"/>
      <c r="F5" s="3"/>
      <c r="H5" s="9"/>
      <c r="Y5" t="s">
        <v>46</v>
      </c>
    </row>
    <row r="6" spans="1:25" ht="19.5" thickBot="1" x14ac:dyDescent="0.4">
      <c r="A6" s="3"/>
      <c r="B6" s="2" t="s">
        <v>4</v>
      </c>
      <c r="C6" s="47" t="s">
        <v>48</v>
      </c>
      <c r="D6" s="58"/>
      <c r="E6" s="44" t="str" cm="1">
        <f t="array" ref="E6">_xlfn.IFS(E5="","",E5&lt;&gt;"",E5)</f>
        <v/>
      </c>
      <c r="F6" s="3"/>
      <c r="I6" s="30"/>
      <c r="Y6" s="30" t="s">
        <v>5</v>
      </c>
    </row>
    <row r="7" spans="1:25" ht="15.75" x14ac:dyDescent="0.25">
      <c r="A7" s="3"/>
      <c r="B7" s="4"/>
      <c r="C7" s="3"/>
      <c r="D7" s="3"/>
      <c r="E7" s="3"/>
      <c r="F7" s="3"/>
    </row>
    <row r="8" spans="1:25" ht="16.5" thickBot="1" x14ac:dyDescent="0.3">
      <c r="A8" s="3"/>
      <c r="B8" s="3"/>
      <c r="C8" s="3"/>
      <c r="D8" s="3"/>
      <c r="E8" s="3"/>
      <c r="F8" s="3"/>
    </row>
    <row r="9" spans="1:25" ht="16.5" thickBot="1" x14ac:dyDescent="0.3">
      <c r="A9" s="1" t="s">
        <v>6</v>
      </c>
      <c r="B9" s="5" t="s">
        <v>43</v>
      </c>
      <c r="C9" s="57"/>
      <c r="D9" s="3"/>
      <c r="E9" s="3"/>
      <c r="F9" s="57"/>
    </row>
    <row r="10" spans="1:25" ht="16.5" thickBot="1" x14ac:dyDescent="0.3">
      <c r="A10" s="3"/>
      <c r="B10" s="5" t="s">
        <v>8</v>
      </c>
      <c r="C10" s="57"/>
      <c r="D10" s="3"/>
      <c r="E10" s="6" t="s">
        <v>68</v>
      </c>
      <c r="F10" s="57"/>
    </row>
    <row r="11" spans="1:25" ht="16.5" thickBot="1" x14ac:dyDescent="0.3">
      <c r="A11" s="3"/>
      <c r="B11" s="7" t="s">
        <v>10</v>
      </c>
      <c r="C11" s="57"/>
      <c r="D11" s="3"/>
      <c r="E11" s="8" t="s">
        <v>11</v>
      </c>
      <c r="F11" s="57"/>
    </row>
    <row r="12" spans="1:25" ht="15.75" x14ac:dyDescent="0.25">
      <c r="A12" s="3"/>
      <c r="B12" s="3"/>
      <c r="C12" s="3"/>
      <c r="D12" s="3"/>
      <c r="E12" s="3"/>
      <c r="F12" s="3"/>
    </row>
    <row r="13" spans="1:25" ht="15.75" thickBot="1" x14ac:dyDescent="0.3"/>
    <row r="14" spans="1:25" ht="16.5" thickBot="1" x14ac:dyDescent="0.3">
      <c r="A14" s="1" t="s">
        <v>12</v>
      </c>
      <c r="B14" s="31" t="s">
        <v>67</v>
      </c>
      <c r="C14" s="59"/>
      <c r="Y14" t="s">
        <v>49</v>
      </c>
    </row>
    <row r="15" spans="1:25" ht="15.75" thickBot="1" x14ac:dyDescent="0.3">
      <c r="Y15" t="s">
        <v>16</v>
      </c>
    </row>
    <row r="16" spans="1:25" x14ac:dyDescent="0.25">
      <c r="B16" s="31" t="s">
        <v>69</v>
      </c>
      <c r="C16" s="66"/>
      <c r="D16" s="67"/>
      <c r="E16" s="67"/>
      <c r="F16" s="67"/>
      <c r="G16" s="68"/>
    </row>
    <row r="17" spans="1:25" ht="15.75" thickBot="1" x14ac:dyDescent="0.3">
      <c r="C17" s="72"/>
      <c r="D17" s="73"/>
      <c r="E17" s="73"/>
      <c r="F17" s="73"/>
      <c r="G17" s="74"/>
    </row>
    <row r="19" spans="1:25" ht="15.75" thickBot="1" x14ac:dyDescent="0.3"/>
    <row r="20" spans="1:25" ht="16.5" thickBot="1" x14ac:dyDescent="0.3">
      <c r="A20" s="1" t="s">
        <v>13</v>
      </c>
      <c r="B20" s="2" t="s">
        <v>8</v>
      </c>
      <c r="C20" s="52" t="str" cm="1">
        <f t="array" ref="C20">_xlfn.IFS(C10="","",C10&lt;&gt;"",C10)</f>
        <v/>
      </c>
      <c r="D20" s="2" t="s">
        <v>14</v>
      </c>
      <c r="E20" s="52" t="str" cm="1">
        <f t="array" ref="E20">_xlfn.IFS(F10="","",F10&lt;&gt;"",20*F10)</f>
        <v/>
      </c>
    </row>
    <row r="22" spans="1:25" x14ac:dyDescent="0.25">
      <c r="C22" s="52" t="str" cm="1">
        <f t="array" ref="C22">_xlfn.IFS(OR(C10="",C11="",F10="",F11=""),"",AND(C20&gt;=E20,C11&lt;&gt;"inconnu"),C11/SQRT(F10),AND(C20&lt;E20,C11&lt;&gt;"inconnu"),C11/SQRT(F10)*SQRT((C10-F10)/(C10-1)),AND(C20&gt;=E20,C11="inconnu"),F11/SQRT(F10),AND(C20&lt;E20,C11="inconnu"),F11/SQRT(F10)*SQRT((C10-F10)/(C10-1)))</f>
        <v/>
      </c>
      <c r="F22" s="9"/>
    </row>
    <row r="24" spans="1:25" x14ac:dyDescent="0.25">
      <c r="A24" s="18"/>
    </row>
    <row r="25" spans="1:25" ht="18.75" thickBot="1" x14ac:dyDescent="0.4">
      <c r="I25" s="36"/>
      <c r="Y25" s="36" t="s">
        <v>54</v>
      </c>
    </row>
    <row r="26" spans="1:25" ht="18.75" thickBot="1" x14ac:dyDescent="0.4">
      <c r="A26" s="1" t="s">
        <v>15</v>
      </c>
      <c r="B26" s="9"/>
      <c r="Y26" t="s">
        <v>52</v>
      </c>
    </row>
    <row r="27" spans="1:25" ht="18" x14ac:dyDescent="0.35">
      <c r="Y27" t="s">
        <v>53</v>
      </c>
    </row>
    <row r="28" spans="1:25" ht="18.75" thickBot="1" x14ac:dyDescent="0.4">
      <c r="B28" s="2"/>
      <c r="D28" s="22"/>
      <c r="F28" s="22"/>
      <c r="I28" s="36"/>
      <c r="Y28" s="36" t="s">
        <v>55</v>
      </c>
    </row>
    <row r="29" spans="1:25" ht="18.75" thickBot="1" x14ac:dyDescent="0.4">
      <c r="A29" s="10" t="s">
        <v>17</v>
      </c>
      <c r="B29" s="60"/>
      <c r="C29" s="56" t="s">
        <v>3</v>
      </c>
      <c r="D29" s="53" t="str" cm="1">
        <f t="array" ref="D29">_xlfn.IFS(OR(D6="",C9="",C14="",F10=""),"",AND(C14="Normale",D6="&lt;"),_xlfn.NORM.INV(C9,0,1),AND(C14="Normale",D6="&gt;"),_xlfn.NORM.INV(1-C9,0,1),AND(C14="Normale",AND(D6&lt;&gt;"&lt;",D6&lt;&gt;"&gt;")),_xlfn.NORM.INV(1-C9/2,0,1),AND(C14="Student",D6="&lt;"),_xlfn.T.INV(C9,F10-1),AND(C14="Student",D6="&gt;"),_xlfn.T.INV(1-C9,F10-1),AND(C14="Student",AND(D6&lt;&gt;"&lt;",D6&lt;&gt;"&gt;")),_xlfn.T.INV(1-C9/2,F10-1))</f>
        <v/>
      </c>
      <c r="F29" s="20"/>
      <c r="G29" s="12"/>
      <c r="I29" s="37"/>
      <c r="Y29" s="37" t="s">
        <v>56</v>
      </c>
    </row>
    <row r="30" spans="1:25" ht="18.75" thickBot="1" x14ac:dyDescent="0.4">
      <c r="A30" s="10"/>
      <c r="B30" s="2"/>
      <c r="C30" s="11"/>
      <c r="H30" s="13"/>
      <c r="Y30" t="s">
        <v>57</v>
      </c>
    </row>
    <row r="31" spans="1:25" ht="19.5" thickBot="1" x14ac:dyDescent="0.4">
      <c r="A31" s="10"/>
      <c r="B31" s="32" t="s">
        <v>51</v>
      </c>
      <c r="C31" s="54" t="str" cm="1">
        <f t="array" ref="C31">_xlfn.IFS(OR(D6="",C14=""),"",AND(C14="Normale",OR(D6="&lt;",D6="&gt;")),"zobs",AND(C14="Normale",AND(D6&lt;&gt;"&lt;",D6&lt;&gt;"&gt;")),"|zobs|",AND(C14="Student",OR(D6="&lt;",D6="&gt;")),"tobs",AND(C14="Student",AND(D6&lt;&gt;"&lt;",D6&lt;&gt;"&gt;")),"|tobs|")</f>
        <v/>
      </c>
      <c r="D31" s="33" t="s">
        <v>50</v>
      </c>
      <c r="E31" s="59"/>
      <c r="F31" s="52" t="str" cm="1">
        <f t="array" ref="F31">_xlfn.IFS(D29="","",D29&lt;&gt;"",D29)</f>
        <v/>
      </c>
      <c r="G31" s="20"/>
      <c r="H31" s="18"/>
      <c r="I31" s="18"/>
    </row>
    <row r="32" spans="1:25" ht="15.75" x14ac:dyDescent="0.25">
      <c r="A32" s="10"/>
      <c r="B32" s="4"/>
      <c r="C32" s="28"/>
      <c r="D32" s="4"/>
      <c r="E32" s="13"/>
      <c r="F32" s="13"/>
      <c r="G32" s="13"/>
      <c r="H32" s="13"/>
      <c r="I32" s="13"/>
    </row>
    <row r="33" spans="1:25" x14ac:dyDescent="0.25">
      <c r="Y33" t="s">
        <v>71</v>
      </c>
    </row>
    <row r="34" spans="1:25" ht="18.75" x14ac:dyDescent="0.35">
      <c r="A34" s="10" t="s">
        <v>18</v>
      </c>
      <c r="B34" s="75" t="s">
        <v>24</v>
      </c>
      <c r="C34" s="75"/>
      <c r="D34" s="75"/>
      <c r="E34" s="75"/>
      <c r="F34" s="52" t="str" cm="1">
        <f t="array" ref="F34">_xlfn.IFS(C9="","",C9&lt;&gt;"",C9)</f>
        <v/>
      </c>
      <c r="G34" s="34"/>
      <c r="H34" s="21"/>
      <c r="I34" s="21"/>
      <c r="Y34" t="s">
        <v>72</v>
      </c>
    </row>
    <row r="35" spans="1:25" x14ac:dyDescent="0.25">
      <c r="Y35" t="s">
        <v>73</v>
      </c>
    </row>
    <row r="37" spans="1:25" ht="15.75" thickBot="1" x14ac:dyDescent="0.3"/>
    <row r="38" spans="1:25" ht="16.5" thickBot="1" x14ac:dyDescent="0.3">
      <c r="A38" s="14" t="s">
        <v>19</v>
      </c>
      <c r="B38" s="2"/>
    </row>
    <row r="39" spans="1:25" ht="15.75" x14ac:dyDescent="0.25">
      <c r="A39" s="15"/>
      <c r="B39" s="2"/>
      <c r="D39" s="12"/>
    </row>
    <row r="40" spans="1:25" ht="15.75" x14ac:dyDescent="0.25">
      <c r="A40" s="10" t="s">
        <v>20</v>
      </c>
      <c r="B40" s="55" t="str" cm="1">
        <f t="array" ref="B40">_xlfn.IFS(C31="","",C31&lt;&gt;"",C31)</f>
        <v/>
      </c>
      <c r="C40" s="11" t="s">
        <v>3</v>
      </c>
      <c r="D40" s="52" t="str" cm="1">
        <f t="array" ref="D40">_xlfn.IFS(OR(C31="",E5="",F9="",C22=""),"",OR(C31="zobs",C31="tobs"),(F9-E5)/C22,OR(C31="|zobs|",C31="|tobs|"),ABS((F9-E5)/C22))</f>
        <v/>
      </c>
    </row>
    <row r="41" spans="1:25" ht="15.75" x14ac:dyDescent="0.25">
      <c r="A41" s="15"/>
      <c r="B41" s="2"/>
    </row>
    <row r="42" spans="1:25" ht="15.75" x14ac:dyDescent="0.25">
      <c r="A42" s="16" t="s">
        <v>18</v>
      </c>
      <c r="B42" s="2" t="s">
        <v>44</v>
      </c>
      <c r="C42" s="11" t="s">
        <v>3</v>
      </c>
      <c r="D42" s="64" t="str" cm="1">
        <f t="array" ref="D42">_xlfn.IFS(OR(D6="",C14="",F9="",E5="",C22="",F10=""),"",AND(C14="Normale",D6="&gt;"),1-_xlfn.NORM.DIST(F9,E5,C22,TRUE),AND(C14="Normale",D6="&lt;"),_xlfn.NORM.DIST(F9,E5,C22,TRUE),AND(C14="Normale",AND(D6&lt;&gt;"&lt;",D6&lt;&gt;"&gt;")),2*MIN(1-_xlfn.NORM.DIST(F9,E5,C22,TRUE),_xlfn.NORM.DIST(F9,E5,C22,TRUE)),AND(C14="Student",D6="&gt;"),1-_xlfn.T.DIST((F9-E5)/C22,F10-1,TRUE),AND(C14="Student",D6="&lt;"),_xlfn.T.DIST((F9-E5)/C22,F10-1,TRUE),AND(C14="Student",AND(D6&lt;&gt;"&lt;",D6&lt;&gt;"&gt;")),2*MIN(1-_xlfn.T.DIST((F9-E5)/C22,F10-1,TRUE),_xlfn.T.DIST((F9-E5)/C22,F10-1,TRUE)))</f>
        <v/>
      </c>
      <c r="F42" s="38"/>
    </row>
    <row r="44" spans="1:25" ht="15.75" thickBot="1" x14ac:dyDescent="0.3"/>
    <row r="45" spans="1:25" ht="16.5" thickBot="1" x14ac:dyDescent="0.3">
      <c r="A45" s="1" t="s">
        <v>22</v>
      </c>
    </row>
    <row r="46" spans="1:25" ht="15.75" thickBot="1" x14ac:dyDescent="0.3"/>
    <row r="47" spans="1:25" x14ac:dyDescent="0.25">
      <c r="A47" s="66"/>
      <c r="B47" s="67"/>
      <c r="C47" s="67"/>
      <c r="D47" s="67"/>
      <c r="E47" s="67"/>
      <c r="F47" s="67"/>
      <c r="G47" s="68"/>
    </row>
    <row r="48" spans="1:25" x14ac:dyDescent="0.25">
      <c r="A48" s="69"/>
      <c r="B48" s="70"/>
      <c r="C48" s="70"/>
      <c r="D48" s="70"/>
      <c r="E48" s="70"/>
      <c r="F48" s="70"/>
      <c r="G48" s="71"/>
    </row>
    <row r="49" spans="1:7" x14ac:dyDescent="0.25">
      <c r="A49" s="69"/>
      <c r="B49" s="70"/>
      <c r="C49" s="70"/>
      <c r="D49" s="70"/>
      <c r="E49" s="70"/>
      <c r="F49" s="70"/>
      <c r="G49" s="71"/>
    </row>
    <row r="50" spans="1:7" ht="15.75" thickBot="1" x14ac:dyDescent="0.3">
      <c r="A50" s="72"/>
      <c r="B50" s="73"/>
      <c r="C50" s="73"/>
      <c r="D50" s="73"/>
      <c r="E50" s="73"/>
      <c r="F50" s="73"/>
      <c r="G50" s="74"/>
    </row>
  </sheetData>
  <sheetProtection sheet="1" objects="1" scenarios="1"/>
  <mergeCells count="4">
    <mergeCell ref="A47:G50"/>
    <mergeCell ref="C16:G17"/>
    <mergeCell ref="B34:E34"/>
    <mergeCell ref="A1:I2"/>
  </mergeCells>
  <dataValidations xWindow="587" yWindow="649" count="8">
    <dataValidation type="list" allowBlank="1" showInputMessage="1" showErrorMessage="1" promptTitle="Hypothèse alternative" prompt="Sélectionner le symbole voulu." sqref="D6" xr:uid="{23E57D53-8029-4880-9D1B-C6245C3DEB63}">
      <formula1>$Y$4:$Y$6</formula1>
    </dataValidation>
    <dataValidation allowBlank="1" showInputMessage="1" showErrorMessage="1" prompt="Si la taille de la population est inconnue et supposée grande, taper &quot;grande&quot;." sqref="C10" xr:uid="{54484D07-052D-46A0-B90F-9A82A68B1FFD}"/>
    <dataValidation allowBlank="1" showInputMessage="1" showErrorMessage="1" prompt="Si l'écart type de la population est inconnu, taper &quot;inconnu&quot;." sqref="C11" xr:uid="{48963C9A-3856-435A-8A78-EAE714E6EB21}"/>
    <dataValidation allowBlank="1" showErrorMessage="1" prompt="_x000a_" sqref="C16:G17" xr:uid="{45F953EA-1084-41D5-B358-A33820220DE9}"/>
    <dataValidation type="list" allowBlank="1" showInputMessage="1" showErrorMessage="1" promptTitle="Loi" prompt="Indiquer la loi à utiliser. Il faut choisir une des deux options." sqref="C14" xr:uid="{4D9D368E-4B36-4988-B777-5A50EC108186}">
      <formula1>$Y$14:$Y$15</formula1>
    </dataValidation>
    <dataValidation type="list" allowBlank="1" showInputMessage="1" showErrorMessage="1" prompt="Sélectionner le symbole approprié." sqref="E31" xr:uid="{C3189A79-BAF4-4187-AADB-FF5F2A97EDF4}">
      <formula1>$Y$33:$Y$35</formula1>
    </dataValidation>
    <dataValidation type="list" allowBlank="1" showInputMessage="1" showErrorMessage="1" prompt="Sélectionner la statistique appropriée pour le test." sqref="B29" xr:uid="{54140B74-8A53-4E44-BCD9-E390508941FE}">
      <formula1>$Y$25:$Y$30</formula1>
    </dataValidation>
    <dataValidation allowBlank="1" showInputMessage="1" showErrorMessage="1" prompt="La valeur du seuil de signification doit être entre 0 et 1. " sqref="C9" xr:uid="{2A3FB442-4548-4766-A8E1-D9941DAB5CDF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ffacerCellulesGrisesMoyenne">
                <anchor moveWithCells="1" sizeWithCells="1">
                  <from>
                    <xdr:col>6</xdr:col>
                    <xdr:colOff>0</xdr:colOff>
                    <xdr:row>3</xdr:row>
                    <xdr:rowOff>9525</xdr:rowOff>
                  </from>
                  <to>
                    <xdr:col>9</xdr:col>
                    <xdr:colOff>19050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0F1D8-2F47-4AAB-A666-E6B67E58307D}">
  <sheetPr codeName="Feuil2"/>
  <dimension ref="A1:Y50"/>
  <sheetViews>
    <sheetView zoomScaleNormal="100" workbookViewId="0">
      <selection sqref="A1:I2"/>
    </sheetView>
  </sheetViews>
  <sheetFormatPr baseColWidth="10" defaultRowHeight="15" x14ac:dyDescent="0.25"/>
  <cols>
    <col min="1" max="1" width="38.5703125" bestFit="1" customWidth="1"/>
    <col min="2" max="2" width="15.5703125" customWidth="1"/>
    <col min="4" max="4" width="10.85546875" customWidth="1"/>
    <col min="5" max="5" width="15.140625" bestFit="1" customWidth="1"/>
    <col min="6" max="6" width="12.85546875" bestFit="1" customWidth="1"/>
    <col min="25" max="25" width="10.85546875" hidden="1" customWidth="1"/>
  </cols>
  <sheetData>
    <row r="1" spans="1:25" ht="14.45" customHeight="1" x14ac:dyDescent="0.25">
      <c r="A1" s="76" t="s">
        <v>38</v>
      </c>
      <c r="B1" s="77"/>
      <c r="C1" s="77"/>
      <c r="D1" s="77"/>
      <c r="E1" s="77"/>
      <c r="F1" s="77"/>
      <c r="G1" s="77"/>
      <c r="H1" s="77"/>
      <c r="I1" s="78"/>
    </row>
    <row r="2" spans="1:25" ht="15" customHeight="1" thickBot="1" x14ac:dyDescent="0.3">
      <c r="A2" s="79"/>
      <c r="B2" s="80"/>
      <c r="C2" s="80"/>
      <c r="D2" s="80"/>
      <c r="E2" s="80"/>
      <c r="F2" s="80"/>
      <c r="G2" s="80"/>
      <c r="H2" s="80"/>
      <c r="I2" s="81"/>
    </row>
    <row r="3" spans="1:25" x14ac:dyDescent="0.25">
      <c r="Y3" t="s">
        <v>45</v>
      </c>
    </row>
    <row r="4" spans="1:25" ht="15.75" thickBot="1" x14ac:dyDescent="0.3">
      <c r="Y4" t="s">
        <v>46</v>
      </c>
    </row>
    <row r="5" spans="1:25" ht="19.5" thickBot="1" x14ac:dyDescent="0.4">
      <c r="A5" s="1" t="s">
        <v>1</v>
      </c>
      <c r="B5" s="2" t="s">
        <v>2</v>
      </c>
      <c r="C5" s="51" t="s">
        <v>58</v>
      </c>
      <c r="D5" s="50" t="s">
        <v>3</v>
      </c>
      <c r="E5" s="57"/>
      <c r="F5" s="3"/>
      <c r="G5" s="9"/>
      <c r="L5" s="30"/>
      <c r="Y5" s="30" t="s">
        <v>5</v>
      </c>
    </row>
    <row r="6" spans="1:25" ht="19.5" thickBot="1" x14ac:dyDescent="0.4">
      <c r="A6" s="3"/>
      <c r="B6" s="2" t="s">
        <v>4</v>
      </c>
      <c r="C6" s="51" t="s">
        <v>59</v>
      </c>
      <c r="D6" s="58"/>
      <c r="E6" s="44" t="str" cm="1">
        <f t="array" ref="E6">_xlfn.IFS(E5="","",E5&lt;&gt;"",E5)</f>
        <v/>
      </c>
      <c r="F6" s="3"/>
      <c r="I6" s="30"/>
    </row>
    <row r="7" spans="1:25" ht="15.75" x14ac:dyDescent="0.25">
      <c r="A7" s="3"/>
      <c r="B7" s="4"/>
      <c r="C7" s="3"/>
      <c r="D7" s="3"/>
      <c r="E7" s="3"/>
      <c r="F7" s="3"/>
    </row>
    <row r="8" spans="1:25" ht="16.5" thickBot="1" x14ac:dyDescent="0.3">
      <c r="A8" s="3"/>
      <c r="B8" s="3"/>
      <c r="C8" s="3"/>
      <c r="D8" s="3"/>
      <c r="E8" s="3"/>
      <c r="F8" s="3"/>
    </row>
    <row r="9" spans="1:25" ht="16.5" thickBot="1" x14ac:dyDescent="0.3">
      <c r="A9" s="1" t="s">
        <v>6</v>
      </c>
      <c r="B9" s="5" t="s">
        <v>7</v>
      </c>
      <c r="C9" s="57"/>
      <c r="D9" s="3"/>
      <c r="E9" s="2" t="s">
        <v>23</v>
      </c>
      <c r="F9" s="57"/>
    </row>
    <row r="10" spans="1:25" ht="16.5" thickBot="1" x14ac:dyDescent="0.3">
      <c r="A10" s="3"/>
      <c r="B10" s="5" t="s">
        <v>8</v>
      </c>
      <c r="C10" s="57"/>
      <c r="D10" s="3"/>
      <c r="E10" s="6" t="s">
        <v>68</v>
      </c>
      <c r="F10" s="57"/>
    </row>
    <row r="11" spans="1:25" ht="15.75" x14ac:dyDescent="0.25">
      <c r="A11" s="3"/>
      <c r="B11" s="7"/>
      <c r="C11" s="17"/>
      <c r="D11" s="3"/>
      <c r="E11" s="8"/>
      <c r="F11" s="17"/>
    </row>
    <row r="12" spans="1:25" ht="15.75" x14ac:dyDescent="0.25">
      <c r="A12" s="3"/>
      <c r="B12" s="3"/>
      <c r="C12" s="3"/>
      <c r="D12" s="3"/>
      <c r="E12" s="3"/>
      <c r="F12" s="3"/>
    </row>
    <row r="13" spans="1:25" ht="15.75" thickBot="1" x14ac:dyDescent="0.3"/>
    <row r="14" spans="1:25" ht="16.5" thickBot="1" x14ac:dyDescent="0.3">
      <c r="A14" s="1" t="s">
        <v>12</v>
      </c>
      <c r="B14" s="31" t="s">
        <v>67</v>
      </c>
      <c r="C14" s="29" t="s">
        <v>49</v>
      </c>
    </row>
    <row r="15" spans="1:25" ht="15.75" thickBot="1" x14ac:dyDescent="0.3"/>
    <row r="16" spans="1:25" x14ac:dyDescent="0.25">
      <c r="B16" s="31" t="s">
        <v>69</v>
      </c>
      <c r="C16" s="66"/>
      <c r="D16" s="67"/>
      <c r="E16" s="67"/>
      <c r="F16" s="67"/>
      <c r="G16" s="68"/>
    </row>
    <row r="17" spans="1:25" ht="15.75" thickBot="1" x14ac:dyDescent="0.3">
      <c r="C17" s="72"/>
      <c r="D17" s="73"/>
      <c r="E17" s="73"/>
      <c r="F17" s="73"/>
      <c r="G17" s="74"/>
    </row>
    <row r="19" spans="1:25" ht="15.75" thickBot="1" x14ac:dyDescent="0.3"/>
    <row r="20" spans="1:25" ht="16.5" thickBot="1" x14ac:dyDescent="0.3">
      <c r="A20" s="1" t="s">
        <v>13</v>
      </c>
      <c r="B20" s="2" t="s">
        <v>8</v>
      </c>
      <c r="C20" s="45" t="str" cm="1">
        <f t="array" ref="C20">_xlfn.IFS(C10="","",C10&lt;&gt;"",C10)</f>
        <v/>
      </c>
      <c r="D20" s="2" t="s">
        <v>14</v>
      </c>
      <c r="E20" s="43" t="str" cm="1">
        <f t="array" ref="E20">_xlfn.IFS(F10="","",F10&lt;&gt;"",20*F10)</f>
        <v/>
      </c>
    </row>
    <row r="22" spans="1:25" x14ac:dyDescent="0.25">
      <c r="C22" s="43" t="str" cm="1">
        <f t="array" ref="C22">_xlfn.IFS(OR(C10="",F10="",E5=""),"",C20&gt;=E20,SQRT(E5*(1-E5)/F10),C20&lt;E20,SQRT(E5*(1-E5)/F10)*SQRT((C10-F10)/(C10-1)))</f>
        <v/>
      </c>
      <c r="F22" s="9"/>
    </row>
    <row r="25" spans="1:25" ht="15.75" thickBot="1" x14ac:dyDescent="0.3"/>
    <row r="26" spans="1:25" ht="18.75" thickBot="1" x14ac:dyDescent="0.4">
      <c r="A26" s="1" t="s">
        <v>15</v>
      </c>
      <c r="B26" s="9"/>
      <c r="K26" s="36"/>
      <c r="L26" s="36"/>
      <c r="Y26" s="36" t="s">
        <v>54</v>
      </c>
    </row>
    <row r="27" spans="1:25" ht="18" x14ac:dyDescent="0.35">
      <c r="Y27" t="s">
        <v>52</v>
      </c>
    </row>
    <row r="28" spans="1:25" ht="18.75" thickBot="1" x14ac:dyDescent="0.4">
      <c r="B28" s="2"/>
      <c r="D28" s="22"/>
      <c r="F28" s="19"/>
      <c r="Y28" t="s">
        <v>53</v>
      </c>
    </row>
    <row r="29" spans="1:25" ht="16.5" thickBot="1" x14ac:dyDescent="0.3">
      <c r="A29" s="10" t="s">
        <v>17</v>
      </c>
      <c r="B29" s="60"/>
      <c r="C29" s="11" t="s">
        <v>3</v>
      </c>
      <c r="D29" s="43" t="str" cm="1">
        <f t="array" ref="D29">_xlfn.IFS(OR(D6="",C9=""),"",D6="&lt;",_xlfn.NORM.INV(C9,0,1),D6="&gt;",_xlfn.NORM.INV(1-C9,0,1),AND(D6&lt;&gt;"&lt;",D6&lt;&gt;"&gt;"),_xlfn.NORM.INV(1-C9/2,0,1))</f>
        <v/>
      </c>
      <c r="F29" s="20"/>
      <c r="G29" s="12"/>
    </row>
    <row r="30" spans="1:25" ht="16.5" thickBot="1" x14ac:dyDescent="0.3">
      <c r="A30" s="10"/>
      <c r="B30" s="2"/>
      <c r="C30" s="11"/>
      <c r="H30" s="13"/>
      <c r="I30" s="13"/>
    </row>
    <row r="31" spans="1:25" ht="19.5" thickBot="1" x14ac:dyDescent="0.4">
      <c r="A31" s="10"/>
      <c r="B31" s="32" t="s">
        <v>61</v>
      </c>
      <c r="C31" s="46" t="str" cm="1">
        <f t="array" ref="C31">_xlfn.IFS(D6="","",OR(D6="&lt;",D6="&gt;"),"zobs",AND(D6&lt;&gt;"&lt;",D6&lt;&gt;"&gt;"),"|zobs|")</f>
        <v/>
      </c>
      <c r="D31" s="33" t="s">
        <v>50</v>
      </c>
      <c r="E31" s="61"/>
      <c r="F31" s="34" t="s">
        <v>60</v>
      </c>
      <c r="G31" s="43" t="str" cm="1">
        <f t="array" ref="G31">_xlfn.IFS(D29="","",D29&lt;&gt;"",D29)</f>
        <v/>
      </c>
      <c r="H31" s="18"/>
      <c r="I31" s="18"/>
      <c r="Y31" t="s">
        <v>71</v>
      </c>
    </row>
    <row r="32" spans="1:25" ht="15.75" x14ac:dyDescent="0.25">
      <c r="A32" s="10"/>
      <c r="B32" s="4"/>
      <c r="C32" s="4"/>
      <c r="D32" s="4"/>
      <c r="E32" s="13"/>
      <c r="F32" s="13"/>
      <c r="G32" s="34"/>
      <c r="H32" s="13"/>
      <c r="I32" s="13"/>
      <c r="Y32" t="s">
        <v>72</v>
      </c>
    </row>
    <row r="33" spans="1:25" x14ac:dyDescent="0.25">
      <c r="Y33" t="s">
        <v>73</v>
      </c>
    </row>
    <row r="34" spans="1:25" ht="18.75" x14ac:dyDescent="0.35">
      <c r="A34" s="10" t="s">
        <v>18</v>
      </c>
      <c r="B34" s="75" t="s">
        <v>24</v>
      </c>
      <c r="C34" s="75"/>
      <c r="D34" s="75"/>
      <c r="E34" s="75"/>
      <c r="F34" s="41" t="str" cm="1">
        <f t="array" ref="F34">_xlfn.IFS(C9="","",C9&lt;&gt;"",C9)</f>
        <v/>
      </c>
      <c r="G34" s="34"/>
      <c r="H34" s="21"/>
      <c r="I34" s="21"/>
    </row>
    <row r="37" spans="1:25" ht="15.75" thickBot="1" x14ac:dyDescent="0.3"/>
    <row r="38" spans="1:25" ht="16.5" thickBot="1" x14ac:dyDescent="0.3">
      <c r="A38" s="14" t="s">
        <v>19</v>
      </c>
      <c r="B38" s="2"/>
    </row>
    <row r="39" spans="1:25" ht="15.75" x14ac:dyDescent="0.25">
      <c r="A39" s="15"/>
      <c r="B39" s="2"/>
      <c r="D39" s="12"/>
    </row>
    <row r="40" spans="1:25" ht="15.75" x14ac:dyDescent="0.25">
      <c r="A40" s="10" t="s">
        <v>20</v>
      </c>
      <c r="B40" s="47" t="str" cm="1">
        <f t="array" ref="B40">_xlfn.IFS(C31="","",C31&lt;&gt;"",C31)</f>
        <v/>
      </c>
      <c r="C40" s="11" t="s">
        <v>3</v>
      </c>
      <c r="D40" s="48" t="str" cm="1">
        <f t="array" ref="D40">_xlfn.IFS(OR(B40="",E5="",F9="",C22=""),"",B40="zobs",(F9-E5)/C22,B40="|zobs|",ABS((F9-E5)/C22))</f>
        <v/>
      </c>
    </row>
    <row r="41" spans="1:25" ht="15.75" x14ac:dyDescent="0.25">
      <c r="A41" s="15"/>
      <c r="B41" s="2"/>
    </row>
    <row r="42" spans="1:25" ht="15.75" x14ac:dyDescent="0.25">
      <c r="A42" s="16" t="s">
        <v>18</v>
      </c>
      <c r="B42" s="2" t="s">
        <v>44</v>
      </c>
      <c r="C42" s="11" t="s">
        <v>3</v>
      </c>
      <c r="D42" s="43" t="str" cm="1">
        <f t="array" ref="D42">_xlfn.IFS(OR(D6="",C14="",F9="",E5="",C22=""),"",D6="&gt;",1-_xlfn.NORM.DIST(F9,E5,C22,TRUE),D6="&lt;",_xlfn.NORM.DIST(F9,E5,C22,TRUE),AND(D6&lt;&gt;"&lt;",D6&lt;&gt;"&gt;"),2*MIN(1-_xlfn.NORM.DIST(F9,E5,C22,TRUE),_xlfn.NORM.DIST(F9,E5,C22,TRUE)))</f>
        <v/>
      </c>
    </row>
    <row r="44" spans="1:25" ht="15.75" thickBot="1" x14ac:dyDescent="0.3"/>
    <row r="45" spans="1:25" ht="16.5" thickBot="1" x14ac:dyDescent="0.3">
      <c r="A45" s="1" t="s">
        <v>22</v>
      </c>
    </row>
    <row r="46" spans="1:25" ht="15.75" thickBot="1" x14ac:dyDescent="0.3"/>
    <row r="47" spans="1:25" x14ac:dyDescent="0.25">
      <c r="A47" s="66"/>
      <c r="B47" s="67"/>
      <c r="C47" s="67"/>
      <c r="D47" s="67"/>
      <c r="E47" s="67"/>
      <c r="F47" s="67"/>
      <c r="G47" s="68"/>
    </row>
    <row r="48" spans="1:25" x14ac:dyDescent="0.25">
      <c r="A48" s="69"/>
      <c r="B48" s="70"/>
      <c r="C48" s="70"/>
      <c r="D48" s="70"/>
      <c r="E48" s="70"/>
      <c r="F48" s="70"/>
      <c r="G48" s="71"/>
    </row>
    <row r="49" spans="1:7" x14ac:dyDescent="0.25">
      <c r="A49" s="69"/>
      <c r="B49" s="70"/>
      <c r="C49" s="70"/>
      <c r="D49" s="70"/>
      <c r="E49" s="70"/>
      <c r="F49" s="70"/>
      <c r="G49" s="71"/>
    </row>
    <row r="50" spans="1:7" ht="15.75" thickBot="1" x14ac:dyDescent="0.3">
      <c r="A50" s="72"/>
      <c r="B50" s="73"/>
      <c r="C50" s="73"/>
      <c r="D50" s="73"/>
      <c r="E50" s="73"/>
      <c r="F50" s="73"/>
      <c r="G50" s="74"/>
    </row>
  </sheetData>
  <sheetProtection sheet="1" objects="1" scenarios="1"/>
  <mergeCells count="4">
    <mergeCell ref="A1:I2"/>
    <mergeCell ref="A47:G50"/>
    <mergeCell ref="C16:G17"/>
    <mergeCell ref="B34:E34"/>
  </mergeCells>
  <dataValidations count="7">
    <dataValidation type="list" allowBlank="1" showInputMessage="1" showErrorMessage="1" prompt="Sélectionner le symbole voulu._x000a_" sqref="D6" xr:uid="{317BD13E-AE71-41CE-8A6C-AA38A9A1B2E7}">
      <formula1>$Y$3:$Y$5</formula1>
    </dataValidation>
    <dataValidation allowBlank="1" showInputMessage="1" showErrorMessage="1" prompt="Si la taille de la population est inconnue et assumée infinie, taper &quot;grande&quot;._x000a_" sqref="C10" xr:uid="{E551E022-AB1D-4464-8735-85765138FADC}"/>
    <dataValidation allowBlank="1" showInputMessage="1" showErrorMessage="1" prompt="Justifier la loi choisie._x000a_" sqref="C16:G17" xr:uid="{C8EDC409-ACC9-431C-97EC-9D87552756AF}"/>
    <dataValidation allowBlank="1" showInputMessage="1" showErrorMessage="1" prompt="La proportion doit être écrite en décimale. La valeur doit donc être entre 0 et 1._x000a_" sqref="E5" xr:uid="{B821DC13-C54B-48BC-BA86-CF93175B19BE}"/>
    <dataValidation type="list" allowBlank="1" showInputMessage="1" showErrorMessage="1" prompt="Sélectionner la statistique appropriée du test._x000a_" sqref="B29" xr:uid="{BE5E89BF-5F8E-4133-9BA6-69DFF8C9385F}">
      <formula1>$Y$26:$Y$28</formula1>
    </dataValidation>
    <dataValidation type="list" allowBlank="1" showInputMessage="1" showErrorMessage="1" prompt="Sélectionner le symbole approprié." sqref="E31" xr:uid="{8DB0EFD4-07E3-4CFC-8401-761B9E9F2C52}">
      <formula1>$Y$31:$Y$33</formula1>
    </dataValidation>
    <dataValidation allowBlank="1" showInputMessage="1" showErrorMessage="1" prompt="La proportion échantillonnale doit être écrite en décimale. La valeur doit donc être entre 0 et 1._x000a_" sqref="F9" xr:uid="{39EB60A6-4155-45AE-B921-14E02E55D73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ffacerCellulesGrisesProportion">
                <anchor moveWithCells="1" sizeWithCells="1">
                  <from>
                    <xdr:col>6</xdr:col>
                    <xdr:colOff>19050</xdr:colOff>
                    <xdr:row>3</xdr:row>
                    <xdr:rowOff>19050</xdr:rowOff>
                  </from>
                  <to>
                    <xdr:col>8</xdr:col>
                    <xdr:colOff>742950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A0763-4371-4070-BDCC-1386665F66EB}">
  <sheetPr codeName="Feuil3"/>
  <dimension ref="A1:Y48"/>
  <sheetViews>
    <sheetView workbookViewId="0">
      <selection sqref="A1:I2"/>
    </sheetView>
  </sheetViews>
  <sheetFormatPr baseColWidth="10" defaultRowHeight="15" x14ac:dyDescent="0.25"/>
  <cols>
    <col min="1" max="1" width="38.5703125" bestFit="1" customWidth="1"/>
    <col min="2" max="2" width="13.85546875" customWidth="1"/>
    <col min="3" max="3" width="13.140625" bestFit="1" customWidth="1"/>
    <col min="4" max="4" width="10.85546875" customWidth="1"/>
    <col min="5" max="5" width="14.140625" bestFit="1" customWidth="1"/>
    <col min="25" max="25" width="10.85546875" hidden="1" customWidth="1"/>
  </cols>
  <sheetData>
    <row r="1" spans="1:25" ht="14.45" customHeight="1" x14ac:dyDescent="0.25">
      <c r="A1" s="76" t="s">
        <v>62</v>
      </c>
      <c r="B1" s="82"/>
      <c r="C1" s="82"/>
      <c r="D1" s="82"/>
      <c r="E1" s="82"/>
      <c r="F1" s="82"/>
      <c r="G1" s="82"/>
      <c r="H1" s="82"/>
      <c r="I1" s="83"/>
    </row>
    <row r="2" spans="1:25" ht="15" customHeight="1" thickBot="1" x14ac:dyDescent="0.3">
      <c r="A2" s="84"/>
      <c r="B2" s="85"/>
      <c r="C2" s="85"/>
      <c r="D2" s="85"/>
      <c r="E2" s="85"/>
      <c r="F2" s="85"/>
      <c r="G2" s="85"/>
      <c r="H2" s="85"/>
      <c r="I2" s="86"/>
    </row>
    <row r="3" spans="1:25" x14ac:dyDescent="0.25">
      <c r="Y3" t="s">
        <v>45</v>
      </c>
    </row>
    <row r="4" spans="1:25" ht="15.75" thickBot="1" x14ac:dyDescent="0.3">
      <c r="Y4" t="s">
        <v>46</v>
      </c>
    </row>
    <row r="5" spans="1:25" ht="19.5" thickBot="1" x14ac:dyDescent="0.4">
      <c r="A5" s="1" t="s">
        <v>1</v>
      </c>
      <c r="B5" s="2" t="s">
        <v>2</v>
      </c>
      <c r="C5" s="46" t="s">
        <v>65</v>
      </c>
      <c r="D5" s="50" t="s">
        <v>3</v>
      </c>
      <c r="E5" s="46" t="s">
        <v>25</v>
      </c>
      <c r="F5" s="3"/>
      <c r="H5" s="9"/>
      <c r="K5" s="30"/>
      <c r="Y5" s="30" t="s">
        <v>5</v>
      </c>
    </row>
    <row r="6" spans="1:25" ht="19.5" thickBot="1" x14ac:dyDescent="0.4">
      <c r="A6" s="3"/>
      <c r="B6" s="2" t="s">
        <v>4</v>
      </c>
      <c r="C6" s="46" t="s">
        <v>26</v>
      </c>
      <c r="D6" s="58"/>
      <c r="E6" s="46" t="s">
        <v>25</v>
      </c>
      <c r="F6" s="3"/>
      <c r="I6" s="3"/>
    </row>
    <row r="7" spans="1:25" ht="15.75" x14ac:dyDescent="0.25">
      <c r="A7" s="3"/>
      <c r="B7" s="4"/>
      <c r="C7" s="3"/>
      <c r="D7" s="3"/>
      <c r="E7" s="3"/>
      <c r="F7" s="3"/>
    </row>
    <row r="8" spans="1:25" ht="16.5" thickBot="1" x14ac:dyDescent="0.3">
      <c r="A8" s="3"/>
      <c r="B8" s="3"/>
      <c r="C8" s="3"/>
      <c r="D8" s="3"/>
      <c r="E8" s="3"/>
      <c r="F8" s="3"/>
    </row>
    <row r="9" spans="1:25" ht="16.5" thickBot="1" x14ac:dyDescent="0.3">
      <c r="A9" s="1" t="s">
        <v>6</v>
      </c>
      <c r="B9" s="5" t="s">
        <v>7</v>
      </c>
      <c r="C9" s="57"/>
      <c r="D9" s="3"/>
      <c r="E9" s="3"/>
      <c r="F9" s="57"/>
      <c r="H9" s="3"/>
      <c r="I9" s="57"/>
    </row>
    <row r="10" spans="1:25" ht="19.5" thickBot="1" x14ac:dyDescent="0.3">
      <c r="A10" s="3"/>
      <c r="B10" s="5" t="s">
        <v>8</v>
      </c>
      <c r="C10" s="57"/>
      <c r="D10" s="3"/>
      <c r="E10" s="6" t="s">
        <v>27</v>
      </c>
      <c r="F10" s="57"/>
      <c r="H10" s="6" t="s">
        <v>29</v>
      </c>
      <c r="I10" s="57"/>
    </row>
    <row r="11" spans="1:25" ht="19.5" thickBot="1" x14ac:dyDescent="0.3">
      <c r="A11" s="3"/>
      <c r="B11" s="7"/>
      <c r="C11" s="17"/>
      <c r="D11" s="3"/>
      <c r="E11" s="8" t="s">
        <v>28</v>
      </c>
      <c r="F11" s="57"/>
      <c r="H11" s="8" t="s">
        <v>30</v>
      </c>
      <c r="I11" s="57"/>
    </row>
    <row r="12" spans="1:25" ht="15.75" x14ac:dyDescent="0.25">
      <c r="A12" s="3"/>
      <c r="B12" s="3"/>
      <c r="C12" s="3"/>
      <c r="D12" s="3"/>
      <c r="E12" s="3"/>
      <c r="F12" s="3"/>
      <c r="I12" s="35"/>
    </row>
    <row r="13" spans="1:25" ht="15.75" thickBot="1" x14ac:dyDescent="0.3">
      <c r="Y13" t="s">
        <v>49</v>
      </c>
    </row>
    <row r="14" spans="1:25" ht="16.5" thickBot="1" x14ac:dyDescent="0.3">
      <c r="A14" s="1" t="s">
        <v>12</v>
      </c>
      <c r="B14" s="31" t="s">
        <v>67</v>
      </c>
      <c r="C14" s="59"/>
      <c r="Y14" t="s">
        <v>16</v>
      </c>
    </row>
    <row r="15" spans="1:25" ht="15.75" thickBot="1" x14ac:dyDescent="0.3"/>
    <row r="16" spans="1:25" x14ac:dyDescent="0.25">
      <c r="B16" s="31" t="s">
        <v>70</v>
      </c>
      <c r="C16" s="66"/>
      <c r="D16" s="67"/>
      <c r="E16" s="67"/>
      <c r="F16" s="67"/>
      <c r="G16" s="68"/>
    </row>
    <row r="17" spans="1:25" ht="15.75" thickBot="1" x14ac:dyDescent="0.3">
      <c r="C17" s="72"/>
      <c r="D17" s="73"/>
      <c r="E17" s="73"/>
      <c r="F17" s="73"/>
      <c r="G17" s="74"/>
    </row>
    <row r="19" spans="1:25" ht="15.75" thickBot="1" x14ac:dyDescent="0.3"/>
    <row r="20" spans="1:25" ht="16.5" thickBot="1" x14ac:dyDescent="0.3">
      <c r="A20" s="1" t="s">
        <v>41</v>
      </c>
      <c r="B20" s="2" t="s">
        <v>31</v>
      </c>
      <c r="C20" s="41" t="str" cm="1">
        <f t="array" ref="C20">_xlfn.IFS(OR(F10="",F11="",I10="",I11=""),"",AND(F10&gt;=30,I10&gt;=30),"non-applicable",OR(F10&lt;30,I10&lt;30),SQRT(((F10-1)*F11^2+(I10-1)*I11^2)/(F10+I10-2)))</f>
        <v/>
      </c>
    </row>
    <row r="21" spans="1:25" x14ac:dyDescent="0.25">
      <c r="C21" s="49" t="str" cm="1">
        <f t="array" ref="C21">_xlfn.IFS(OR(F10="",F11="",I10="",I11=""),"",AND(F10&gt;=30,I10&gt;=30),SQRT(F11^2/F10+I11^2/I10),OR(F10&lt;30,I10&lt;30),C20*SQRT(1/F10+1/I10))</f>
        <v/>
      </c>
    </row>
    <row r="22" spans="1:25" ht="18" x14ac:dyDescent="0.35">
      <c r="L22" s="36"/>
      <c r="Y22" s="36" t="s">
        <v>54</v>
      </c>
    </row>
    <row r="23" spans="1:25" ht="18.75" thickBot="1" x14ac:dyDescent="0.4">
      <c r="Y23" t="s">
        <v>52</v>
      </c>
    </row>
    <row r="24" spans="1:25" ht="18.75" thickBot="1" x14ac:dyDescent="0.4">
      <c r="A24" s="1" t="s">
        <v>15</v>
      </c>
      <c r="B24" s="9"/>
      <c r="Y24" t="s">
        <v>53</v>
      </c>
    </row>
    <row r="25" spans="1:25" ht="18" x14ac:dyDescent="0.35">
      <c r="L25" s="36"/>
      <c r="Y25" s="36" t="s">
        <v>55</v>
      </c>
    </row>
    <row r="26" spans="1:25" ht="18.75" thickBot="1" x14ac:dyDescent="0.4">
      <c r="B26" s="2"/>
      <c r="D26" s="22"/>
      <c r="F26" s="22"/>
      <c r="L26" s="37"/>
      <c r="Y26" s="37" t="s">
        <v>56</v>
      </c>
    </row>
    <row r="27" spans="1:25" ht="18.75" thickBot="1" x14ac:dyDescent="0.4">
      <c r="A27" s="10" t="s">
        <v>17</v>
      </c>
      <c r="B27" s="60"/>
      <c r="C27" s="11" t="s">
        <v>3</v>
      </c>
      <c r="D27" s="43" t="str" cm="1">
        <f t="array" ref="D27">_xlfn.IFS(OR(D6="",C9="",C14="",F10="",I10=""),"",AND(C14="Normale",D6="&lt;"),_xlfn.NORM.INV(C9,0,1),AND(C14="Normale",D6="&gt;"),_xlfn.NORM.INV(1-C9,0,1),AND(C14="Normale",AND(D6&lt;&gt;"&lt;",D6&lt;&gt;"&gt;")),_xlfn.NORM.INV(1-C9/2,0,1),AND(C14="Student",D6="&lt;"),_xlfn.T.INV(C9,F10+I10-2),AND(C14="Student",D6="&gt;"),_xlfn.T.INV(1-C9,F10+I10-2),AND(C14="Student",AND(D6&lt;&gt;"&lt;",D6&lt;&gt;"&gt;")),_xlfn.T.INV(1-C9/2,F10+I10-2))</f>
        <v/>
      </c>
      <c r="F27" s="18"/>
      <c r="G27" s="12"/>
      <c r="Y27" t="s">
        <v>57</v>
      </c>
    </row>
    <row r="28" spans="1:25" ht="16.5" thickBot="1" x14ac:dyDescent="0.3">
      <c r="A28" s="10"/>
      <c r="B28" s="2"/>
      <c r="C28" s="11"/>
      <c r="H28" s="13"/>
      <c r="I28" s="13"/>
    </row>
    <row r="29" spans="1:25" ht="19.5" thickBot="1" x14ac:dyDescent="0.4">
      <c r="A29" s="10"/>
      <c r="B29" s="32" t="s">
        <v>51</v>
      </c>
      <c r="C29" s="42" t="str" cm="1">
        <f t="array" ref="C29">_xlfn.IFS(OR(D6="",C14=""),"",AND(C14="Normale",OR(D6="&lt;",D6="&gt;")),"zobs",AND(C14="Normale",AND(D6&lt;&gt;"&lt;",D6&lt;&gt;"&gt;")),"|zobs|",AND(C14="Student",OR(D6="&lt;",D6="&gt;")),"tobs",AND(C14="Student",AND(D6&lt;&gt;"&lt;",D6&lt;&gt;"&gt;")),"|tobs|")</f>
        <v/>
      </c>
      <c r="D29" s="33" t="s">
        <v>50</v>
      </c>
      <c r="E29" s="59"/>
      <c r="F29" s="41" t="str" cm="1">
        <f t="array" ref="F29">_xlfn.IFS(D27="","",D27&lt;&gt;"",D27)</f>
        <v/>
      </c>
      <c r="G29" s="20"/>
      <c r="H29" s="21"/>
      <c r="I29" s="21"/>
    </row>
    <row r="30" spans="1:25" ht="15.75" x14ac:dyDescent="0.25">
      <c r="A30" s="10"/>
      <c r="B30" s="4"/>
      <c r="C30" s="4"/>
      <c r="D30" s="4"/>
      <c r="E30" s="13"/>
      <c r="F30" s="13"/>
      <c r="G30" s="13"/>
      <c r="H30" s="13"/>
      <c r="I30" s="13"/>
    </row>
    <row r="31" spans="1:25" x14ac:dyDescent="0.25">
      <c r="Y31" t="s">
        <v>71</v>
      </c>
    </row>
    <row r="32" spans="1:25" ht="18.75" x14ac:dyDescent="0.35">
      <c r="A32" s="10" t="s">
        <v>18</v>
      </c>
      <c r="B32" s="75" t="s">
        <v>24</v>
      </c>
      <c r="C32" s="75"/>
      <c r="D32" s="75"/>
      <c r="E32" s="75"/>
      <c r="F32" s="46" t="str" cm="1">
        <f t="array" ref="F32">_xlfn.IFS(C9="","",C9&lt;&gt;"",C9)</f>
        <v/>
      </c>
      <c r="G32" s="34"/>
      <c r="H32" s="21"/>
      <c r="I32" s="21"/>
      <c r="Y32" t="s">
        <v>72</v>
      </c>
    </row>
    <row r="33" spans="1:25" x14ac:dyDescent="0.25">
      <c r="Y33" t="s">
        <v>73</v>
      </c>
    </row>
    <row r="35" spans="1:25" ht="15.75" thickBot="1" x14ac:dyDescent="0.3"/>
    <row r="36" spans="1:25" ht="16.5" thickBot="1" x14ac:dyDescent="0.3">
      <c r="A36" s="14" t="s">
        <v>19</v>
      </c>
      <c r="B36" s="2"/>
    </row>
    <row r="37" spans="1:25" ht="15.75" x14ac:dyDescent="0.25">
      <c r="A37" s="15"/>
      <c r="B37" s="2"/>
      <c r="D37" s="12"/>
    </row>
    <row r="38" spans="1:25" ht="15.75" x14ac:dyDescent="0.25">
      <c r="A38" s="10" t="s">
        <v>20</v>
      </c>
      <c r="B38" s="47" t="str" cm="1">
        <f t="array" ref="B38">_xlfn.IFS(C29="","",C29&lt;&gt;"",C29)</f>
        <v/>
      </c>
      <c r="C38" s="11" t="s">
        <v>3</v>
      </c>
      <c r="D38" s="48" t="str" cm="1">
        <f t="array" ref="D38">_xlfn.IFS(OR(C29="",F9="",I9="",C21=""),"",OR(C29="zobs",C29="tobs"),(F9-I9)/C21,OR(C29="|zobs|",C29="|tobs|"),ABS((F9-I9)/C21))</f>
        <v/>
      </c>
    </row>
    <row r="39" spans="1:25" ht="15.75" x14ac:dyDescent="0.25">
      <c r="A39" s="15"/>
      <c r="B39" s="2"/>
    </row>
    <row r="40" spans="1:25" ht="15.75" x14ac:dyDescent="0.25">
      <c r="A40" s="16" t="s">
        <v>18</v>
      </c>
      <c r="B40" s="2" t="s">
        <v>44</v>
      </c>
      <c r="C40" s="11" t="s">
        <v>3</v>
      </c>
      <c r="D40" s="41" t="str" cm="1">
        <f t="array" ref="D40">_xlfn.IFS(OR(D6="",C14="",F9="",I9="",C21="",F10="",I10=""),"",AND(C14="Normale",D6="&gt;"),1-_xlfn.NORM.DIST(F9,I9,C21,TRUE),AND(C14="Normale",D6="&lt;"),_xlfn.NORM.DIST(F9,I9,C21,TRUE),AND(C14="Normale",AND(D6&lt;&gt;"&lt;",D6&lt;&gt;"&gt;")),2*MIN(1-_xlfn.NORM.DIST(F9,I9,C21,TRUE),_xlfn.NORM.DIST(F9,I9,C21,TRUE)),AND(C14="Student",D6="&gt;"),1-_xlfn.T.DIST((F9-I9)/C21,F10+I10-2,TRUE),AND(C14="Student",D6="&lt;"),_xlfn.T.DIST((F9-I9)/C21,F10+I10-2,TRUE),AND(C14="Student",AND(D6&lt;&gt;"&lt;",D6&lt;&gt;"&gt;")),2*MIN(1-_xlfn.T.DIST((F9-I9)/C21,F10+I10-2,TRUE),_xlfn.T.DIST((F9-I9)/C21,F10+I10-2,TRUE)))</f>
        <v/>
      </c>
    </row>
    <row r="42" spans="1:25" ht="15.75" thickBot="1" x14ac:dyDescent="0.3"/>
    <row r="43" spans="1:25" ht="16.5" thickBot="1" x14ac:dyDescent="0.3">
      <c r="A43" s="1" t="s">
        <v>22</v>
      </c>
    </row>
    <row r="44" spans="1:25" ht="15.75" thickBot="1" x14ac:dyDescent="0.3"/>
    <row r="45" spans="1:25" x14ac:dyDescent="0.25">
      <c r="A45" s="66"/>
      <c r="B45" s="67"/>
      <c r="C45" s="67"/>
      <c r="D45" s="67"/>
      <c r="E45" s="67"/>
      <c r="F45" s="67"/>
      <c r="G45" s="68"/>
    </row>
    <row r="46" spans="1:25" x14ac:dyDescent="0.25">
      <c r="A46" s="69"/>
      <c r="B46" s="70"/>
      <c r="C46" s="70"/>
      <c r="D46" s="70"/>
      <c r="E46" s="70"/>
      <c r="F46" s="70"/>
      <c r="G46" s="71"/>
    </row>
    <row r="47" spans="1:25" x14ac:dyDescent="0.25">
      <c r="A47" s="69"/>
      <c r="B47" s="70"/>
      <c r="C47" s="70"/>
      <c r="D47" s="70"/>
      <c r="E47" s="70"/>
      <c r="F47" s="70"/>
      <c r="G47" s="71"/>
    </row>
    <row r="48" spans="1:25" ht="15.75" thickBot="1" x14ac:dyDescent="0.3">
      <c r="A48" s="72"/>
      <c r="B48" s="73"/>
      <c r="C48" s="73"/>
      <c r="D48" s="73"/>
      <c r="E48" s="73"/>
      <c r="F48" s="73"/>
      <c r="G48" s="74"/>
    </row>
  </sheetData>
  <sheetProtection sheet="1" objects="1" scenarios="1"/>
  <mergeCells count="4">
    <mergeCell ref="A1:I2"/>
    <mergeCell ref="A45:G48"/>
    <mergeCell ref="C16:G17"/>
    <mergeCell ref="B32:E32"/>
  </mergeCells>
  <dataValidations disablePrompts="1" count="6">
    <dataValidation type="list" allowBlank="1" showInputMessage="1" showErrorMessage="1" prompt="Sélectionner le symbole voulu." sqref="D6" xr:uid="{AA24C543-813B-42C0-9D35-D4365FCA7349}">
      <formula1>$Y$3:$Y$5</formula1>
    </dataValidation>
    <dataValidation allowBlank="1" showInputMessage="1" showErrorMessage="1" prompt="Justifier la loi choisie._x000a_" sqref="C16:G17" xr:uid="{71D8C9B2-4CCE-47C5-8784-9A07C319B012}"/>
    <dataValidation allowBlank="1" showInputMessage="1" showErrorMessage="1" prompt="Si la taille de la population est inconnue et assumée infinie, taper &quot;grande&quot;._x000a_" sqref="C10" xr:uid="{9B7C7A23-09F6-4D5E-B0CE-98F920064190}"/>
    <dataValidation type="list" allowBlank="1" showInputMessage="1" showErrorMessage="1" prompt="Sélectionner la statistique appropriée pour le test." sqref="B27" xr:uid="{E939AE29-B136-456E-A525-F87E987E993B}">
      <formula1>$Y$22:$Y$27</formula1>
    </dataValidation>
    <dataValidation type="list" allowBlank="1" showInputMessage="1" showErrorMessage="1" prompt="Indiquer la loi à utiliser. Il faut choisir une des deux options." sqref="C14" xr:uid="{35CEF9A1-7D8E-46A8-BB33-E9AF9206EFA6}">
      <formula1>$Y$13:$Y$14</formula1>
    </dataValidation>
    <dataValidation type="list" allowBlank="1" showInputMessage="1" showErrorMessage="1" prompt="Sélectionner le symbole approprié." sqref="E29" xr:uid="{08750DE8-D43B-42C5-B7B2-766E315EAD74}">
      <formula1>$Y$31:$Y$33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ffacerCellulesGrisesDeuxMoyennesInd">
                <anchor moveWithCells="1" sizeWithCells="1">
                  <from>
                    <xdr:col>5</xdr:col>
                    <xdr:colOff>742950</xdr:colOff>
                    <xdr:row>3</xdr:row>
                    <xdr:rowOff>0</xdr:rowOff>
                  </from>
                  <to>
                    <xdr:col>9</xdr:col>
                    <xdr:colOff>9525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BFF95-B87F-4FB4-9F8F-83A7A73465BF}">
  <sheetPr codeName="Feuil4"/>
  <dimension ref="A1:Y48"/>
  <sheetViews>
    <sheetView workbookViewId="0">
      <selection sqref="A1:I2"/>
    </sheetView>
  </sheetViews>
  <sheetFormatPr baseColWidth="10" defaultRowHeight="15" x14ac:dyDescent="0.25"/>
  <cols>
    <col min="1" max="1" width="38.5703125" bestFit="1" customWidth="1"/>
    <col min="2" max="2" width="14.140625" customWidth="1"/>
    <col min="4" max="4" width="10.85546875" customWidth="1"/>
    <col min="5" max="5" width="14.140625" bestFit="1" customWidth="1"/>
    <col min="25" max="25" width="0" hidden="1" customWidth="1"/>
  </cols>
  <sheetData>
    <row r="1" spans="1:25" ht="14.45" customHeight="1" x14ac:dyDescent="0.25">
      <c r="A1" s="76" t="s">
        <v>39</v>
      </c>
      <c r="B1" s="82"/>
      <c r="C1" s="82"/>
      <c r="D1" s="82"/>
      <c r="E1" s="82"/>
      <c r="F1" s="82"/>
      <c r="G1" s="82"/>
      <c r="H1" s="82"/>
      <c r="I1" s="83"/>
    </row>
    <row r="2" spans="1:25" ht="15" customHeight="1" thickBot="1" x14ac:dyDescent="0.3">
      <c r="A2" s="84"/>
      <c r="B2" s="85"/>
      <c r="C2" s="85"/>
      <c r="D2" s="85"/>
      <c r="E2" s="85"/>
      <c r="F2" s="85"/>
      <c r="G2" s="85"/>
      <c r="H2" s="85"/>
      <c r="I2" s="86"/>
    </row>
    <row r="4" spans="1:25" ht="15.75" thickBot="1" x14ac:dyDescent="0.3">
      <c r="Y4" t="s">
        <v>45</v>
      </c>
    </row>
    <row r="5" spans="1:25" ht="19.5" thickBot="1" x14ac:dyDescent="0.4">
      <c r="A5" s="1" t="s">
        <v>1</v>
      </c>
      <c r="B5" s="2" t="s">
        <v>2</v>
      </c>
      <c r="C5" s="46" t="s">
        <v>63</v>
      </c>
      <c r="D5" s="50" t="s">
        <v>3</v>
      </c>
      <c r="E5" s="46">
        <v>0</v>
      </c>
      <c r="F5" s="3"/>
      <c r="Y5" t="s">
        <v>46</v>
      </c>
    </row>
    <row r="6" spans="1:25" ht="19.5" thickBot="1" x14ac:dyDescent="0.4">
      <c r="A6" s="3"/>
      <c r="B6" s="2" t="s">
        <v>4</v>
      </c>
      <c r="C6" s="46" t="s">
        <v>64</v>
      </c>
      <c r="D6" s="58"/>
      <c r="E6" s="46">
        <v>0</v>
      </c>
      <c r="F6" s="3"/>
      <c r="I6" s="3"/>
      <c r="K6" s="30"/>
      <c r="Y6" s="30" t="s">
        <v>5</v>
      </c>
    </row>
    <row r="7" spans="1:25" ht="15.75" x14ac:dyDescent="0.25">
      <c r="A7" s="3"/>
      <c r="B7" s="24"/>
      <c r="C7" s="3"/>
      <c r="D7" s="3"/>
      <c r="E7" s="3"/>
      <c r="F7" s="3"/>
    </row>
    <row r="8" spans="1:25" ht="16.5" thickBot="1" x14ac:dyDescent="0.3">
      <c r="A8" s="3"/>
      <c r="B8" s="3"/>
      <c r="C8" s="3"/>
      <c r="D8" s="3"/>
      <c r="E8" s="3"/>
      <c r="F8" s="3"/>
    </row>
    <row r="9" spans="1:25" ht="16.5" thickBot="1" x14ac:dyDescent="0.3">
      <c r="A9" s="1" t="s">
        <v>6</v>
      </c>
      <c r="B9" s="5" t="s">
        <v>7</v>
      </c>
      <c r="C9" s="57"/>
      <c r="D9" s="3"/>
      <c r="E9" s="3"/>
      <c r="F9" s="57"/>
      <c r="H9" s="17"/>
      <c r="I9" s="17"/>
    </row>
    <row r="10" spans="1:25" ht="16.5" thickBot="1" x14ac:dyDescent="0.3">
      <c r="A10" s="3"/>
      <c r="B10" s="5" t="s">
        <v>8</v>
      </c>
      <c r="C10" s="57"/>
      <c r="D10" s="3"/>
      <c r="E10" s="6" t="s">
        <v>9</v>
      </c>
      <c r="F10" s="57"/>
      <c r="H10" s="26"/>
      <c r="I10" s="17"/>
    </row>
    <row r="11" spans="1:25" ht="19.5" thickBot="1" x14ac:dyDescent="0.3">
      <c r="A11" s="3"/>
      <c r="B11" s="7"/>
      <c r="C11" s="17"/>
      <c r="D11" s="3"/>
      <c r="E11" s="8" t="s">
        <v>40</v>
      </c>
      <c r="F11" s="57"/>
      <c r="H11" s="27"/>
      <c r="I11" s="17"/>
    </row>
    <row r="12" spans="1:25" ht="15.75" x14ac:dyDescent="0.25">
      <c r="A12" s="3"/>
      <c r="B12" s="3"/>
      <c r="C12" s="3"/>
      <c r="D12" s="3"/>
      <c r="E12" s="3"/>
      <c r="F12" s="3"/>
    </row>
    <row r="13" spans="1:25" ht="15.75" thickBot="1" x14ac:dyDescent="0.3"/>
    <row r="14" spans="1:25" ht="16.5" thickBot="1" x14ac:dyDescent="0.3">
      <c r="A14" s="1" t="s">
        <v>12</v>
      </c>
      <c r="B14" s="31" t="s">
        <v>67</v>
      </c>
      <c r="C14" s="40" t="s">
        <v>16</v>
      </c>
    </row>
    <row r="15" spans="1:25" ht="15.75" thickBot="1" x14ac:dyDescent="0.3"/>
    <row r="16" spans="1:25" x14ac:dyDescent="0.25">
      <c r="B16" s="31" t="s">
        <v>70</v>
      </c>
      <c r="C16" s="66"/>
      <c r="D16" s="67"/>
      <c r="E16" s="67"/>
      <c r="F16" s="67"/>
      <c r="G16" s="68"/>
    </row>
    <row r="17" spans="1:25" ht="15.75" thickBot="1" x14ac:dyDescent="0.3">
      <c r="C17" s="72"/>
      <c r="D17" s="73"/>
      <c r="E17" s="73"/>
      <c r="F17" s="73"/>
      <c r="G17" s="74"/>
    </row>
    <row r="19" spans="1:25" ht="15.75" thickBot="1" x14ac:dyDescent="0.3"/>
    <row r="20" spans="1:25" ht="16.5" thickBot="1" x14ac:dyDescent="0.3">
      <c r="A20" s="1" t="s">
        <v>13</v>
      </c>
      <c r="B20" s="2"/>
      <c r="C20" s="41" t="str">
        <f>IF(OR(F11="",F10=""),"",F11/SQRT(F10))</f>
        <v/>
      </c>
    </row>
    <row r="21" spans="1:25" ht="15.75" x14ac:dyDescent="0.25">
      <c r="A21" s="23"/>
      <c r="C21" s="18"/>
    </row>
    <row r="23" spans="1:25" ht="15.75" thickBot="1" x14ac:dyDescent="0.3"/>
    <row r="24" spans="1:25" ht="16.5" thickBot="1" x14ac:dyDescent="0.3">
      <c r="A24" s="1" t="s">
        <v>15</v>
      </c>
      <c r="B24" s="9"/>
    </row>
    <row r="25" spans="1:25" ht="18" x14ac:dyDescent="0.35">
      <c r="K25" s="36"/>
      <c r="Y25" s="36" t="s">
        <v>55</v>
      </c>
    </row>
    <row r="26" spans="1:25" ht="18.75" thickBot="1" x14ac:dyDescent="0.4">
      <c r="B26" s="2"/>
      <c r="D26" s="22"/>
      <c r="F26" s="22"/>
      <c r="K26" s="37"/>
      <c r="Y26" s="37" t="s">
        <v>56</v>
      </c>
    </row>
    <row r="27" spans="1:25" ht="18.75" thickBot="1" x14ac:dyDescent="0.4">
      <c r="A27" s="10" t="s">
        <v>17</v>
      </c>
      <c r="B27" s="62"/>
      <c r="C27" s="11" t="s">
        <v>3</v>
      </c>
      <c r="D27" s="41" t="str" cm="1">
        <f t="array" ref="D27">_xlfn.IFS(OR(D6="",C9="",F10=""),"",D6="&gt;",_xlfn.T.INV(1-C9,F10-1),D6="&lt;",_xlfn.T.INV(C9,F10-1),AND(D6&lt;&gt;"&lt;",D6&lt;&gt;"&gt;"),_xlfn.T.INV(1-C9/2,F10-1))</f>
        <v/>
      </c>
      <c r="F27" s="18"/>
      <c r="G27" s="12"/>
      <c r="Y27" t="s">
        <v>57</v>
      </c>
    </row>
    <row r="28" spans="1:25" ht="16.5" thickBot="1" x14ac:dyDescent="0.3">
      <c r="A28" s="10"/>
      <c r="B28" s="2"/>
      <c r="C28" s="11"/>
      <c r="H28" s="25"/>
      <c r="I28" s="25"/>
    </row>
    <row r="29" spans="1:25" ht="19.5" thickBot="1" x14ac:dyDescent="0.4">
      <c r="A29" s="10"/>
      <c r="B29" s="32" t="s">
        <v>61</v>
      </c>
      <c r="C29" s="46" t="str" cm="1">
        <f t="array" ref="C29">_xlfn.IFS(OR(D6="",C14=""),"",AND(C14="Student",OR(D6="&lt;",D6="&gt;")),"tobs",AND(C14="Student",AND(D6&lt;&gt;"&lt;",D6&lt;&gt;"&gt;")),"|tobs|")</f>
        <v/>
      </c>
      <c r="D29" s="33" t="s">
        <v>50</v>
      </c>
      <c r="E29" s="63"/>
      <c r="F29" s="41" t="str" cm="1">
        <f t="array" ref="F29">_xlfn.IFS(D27="","",D27&lt;&gt;"",D27)</f>
        <v/>
      </c>
      <c r="G29" s="65"/>
      <c r="H29" s="18"/>
      <c r="I29" s="18"/>
    </row>
    <row r="30" spans="1:25" ht="15.75" x14ac:dyDescent="0.25">
      <c r="A30" s="10"/>
      <c r="B30" s="24"/>
      <c r="C30" s="24"/>
      <c r="D30" s="24"/>
      <c r="E30" s="25"/>
      <c r="F30" s="25"/>
      <c r="G30" s="25"/>
      <c r="H30" s="25"/>
      <c r="I30" s="25"/>
    </row>
    <row r="31" spans="1:25" x14ac:dyDescent="0.25">
      <c r="Y31" t="s">
        <v>71</v>
      </c>
    </row>
    <row r="32" spans="1:25" ht="18.75" x14ac:dyDescent="0.35">
      <c r="A32" s="10" t="s">
        <v>18</v>
      </c>
      <c r="B32" s="75" t="s">
        <v>24</v>
      </c>
      <c r="C32" s="75"/>
      <c r="D32" s="75"/>
      <c r="E32" s="75"/>
      <c r="F32" s="46" t="str" cm="1">
        <f t="array" ref="F32">_xlfn.IFS(C9="","",C9&lt;&gt;"",C9)</f>
        <v/>
      </c>
      <c r="G32" s="21"/>
      <c r="H32" s="21"/>
      <c r="I32" s="21"/>
      <c r="Y32" t="s">
        <v>72</v>
      </c>
    </row>
    <row r="33" spans="1:25" x14ac:dyDescent="0.25">
      <c r="Y33" t="s">
        <v>73</v>
      </c>
    </row>
    <row r="35" spans="1:25" ht="15.75" thickBot="1" x14ac:dyDescent="0.3"/>
    <row r="36" spans="1:25" ht="16.5" thickBot="1" x14ac:dyDescent="0.3">
      <c r="A36" s="14" t="s">
        <v>19</v>
      </c>
      <c r="B36" s="2"/>
    </row>
    <row r="37" spans="1:25" ht="15.75" x14ac:dyDescent="0.25">
      <c r="A37" s="15"/>
      <c r="B37" s="2"/>
      <c r="D37" s="12"/>
    </row>
    <row r="38" spans="1:25" ht="15.75" x14ac:dyDescent="0.25">
      <c r="A38" s="10" t="s">
        <v>20</v>
      </c>
      <c r="B38" s="47" t="str">
        <f>C29</f>
        <v/>
      </c>
      <c r="C38" s="11" t="s">
        <v>3</v>
      </c>
      <c r="D38" s="49" t="str" cm="1">
        <f t="array" ref="D38">_xlfn.IFS(OR(C29="",F9="",E5="",C20=""),"",C29="tobs",(F9-E5)/C20,C29="|tobs|",ABS((F9-E5)/C20))</f>
        <v/>
      </c>
    </row>
    <row r="39" spans="1:25" ht="15.75" x14ac:dyDescent="0.25">
      <c r="A39" s="15"/>
      <c r="B39" s="2"/>
    </row>
    <row r="40" spans="1:25" ht="15.75" x14ac:dyDescent="0.25">
      <c r="A40" s="16" t="s">
        <v>18</v>
      </c>
      <c r="B40" s="2" t="s">
        <v>44</v>
      </c>
      <c r="C40" s="11" t="s">
        <v>3</v>
      </c>
      <c r="D40" s="41" t="str" cm="1">
        <f t="array" ref="D40">_xlfn.IFS(OR(D6="",D38="",F10=""),"",D6="&gt;",1-_xlfn.T.DIST(D38,F10-1,TRUE),D6="&lt;",_xlfn.T.DIST(D38,F10-1,TRUE),AND(D6&lt;&gt;"&lt;",D6&lt;&gt;"&gt;"),2*MIN(1-_xlfn.T.DIST(D38,F10-1,TRUE),_xlfn.T.DIST(D38,F10-1,TRUE)))</f>
        <v/>
      </c>
    </row>
    <row r="42" spans="1:25" ht="15.75" thickBot="1" x14ac:dyDescent="0.3"/>
    <row r="43" spans="1:25" ht="16.5" thickBot="1" x14ac:dyDescent="0.3">
      <c r="A43" s="1" t="s">
        <v>22</v>
      </c>
    </row>
    <row r="44" spans="1:25" ht="15.75" thickBot="1" x14ac:dyDescent="0.3"/>
    <row r="45" spans="1:25" x14ac:dyDescent="0.25">
      <c r="A45" s="66"/>
      <c r="B45" s="67"/>
      <c r="C45" s="67"/>
      <c r="D45" s="67"/>
      <c r="E45" s="67"/>
      <c r="F45" s="67"/>
      <c r="G45" s="68"/>
    </row>
    <row r="46" spans="1:25" x14ac:dyDescent="0.25">
      <c r="A46" s="69"/>
      <c r="B46" s="70"/>
      <c r="C46" s="70"/>
      <c r="D46" s="70"/>
      <c r="E46" s="70"/>
      <c r="F46" s="70"/>
      <c r="G46" s="71"/>
    </row>
    <row r="47" spans="1:25" x14ac:dyDescent="0.25">
      <c r="A47" s="69"/>
      <c r="B47" s="70"/>
      <c r="C47" s="70"/>
      <c r="D47" s="70"/>
      <c r="E47" s="70"/>
      <c r="F47" s="70"/>
      <c r="G47" s="71"/>
    </row>
    <row r="48" spans="1:25" ht="15.75" thickBot="1" x14ac:dyDescent="0.3">
      <c r="A48" s="72"/>
      <c r="B48" s="73"/>
      <c r="C48" s="73"/>
      <c r="D48" s="73"/>
      <c r="E48" s="73"/>
      <c r="F48" s="73"/>
      <c r="G48" s="74"/>
    </row>
  </sheetData>
  <sheetProtection sheet="1" objects="1" scenarios="1"/>
  <mergeCells count="4">
    <mergeCell ref="A1:I2"/>
    <mergeCell ref="A45:G48"/>
    <mergeCell ref="C16:G17"/>
    <mergeCell ref="B32:E32"/>
  </mergeCells>
  <dataValidations count="5">
    <dataValidation type="list" allowBlank="1" showInputMessage="1" showErrorMessage="1" prompt="Sélectionner le symbole voulu." sqref="D6" xr:uid="{7F08E63F-4CA8-4479-8FE9-A8A55E9B0AFA}">
      <formula1>$Y$4:$Y$6</formula1>
    </dataValidation>
    <dataValidation allowBlank="1" showInputMessage="1" showErrorMessage="1" prompt="Si la taille de la population est inconnue et assumée infinie, taper &quot;grande&quot;._x000a_" sqref="C10" xr:uid="{E5D16163-D13E-445E-A68A-74D48035DDC9}"/>
    <dataValidation allowBlank="1" showInputMessage="1" showErrorMessage="1" prompt="Justifier la loi choisie._x000a_" sqref="C16:G17" xr:uid="{F429B561-9587-46C4-96E4-92BCF3B2F923}"/>
    <dataValidation type="list" allowBlank="1" showInputMessage="1" showErrorMessage="1" prompt="Sélectionner la statistique appropriée pour le test." sqref="B27" xr:uid="{8BF9781E-9D48-4BE1-BE0F-BA15702A049F}">
      <formula1>$Y$25:$Y$27</formula1>
    </dataValidation>
    <dataValidation type="list" allowBlank="1" showInputMessage="1" showErrorMessage="1" prompt="Sélectionner le symbole approprié." sqref="E29" xr:uid="{BC10AED2-3A71-49DF-9193-86D097FD6406}">
      <formula1>$Y$31:$Y$33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EffacerCellulesGrisesDeuxMoyennesDep">
                <anchor moveWithCells="1" sizeWithCells="1">
                  <from>
                    <xdr:col>6</xdr:col>
                    <xdr:colOff>19050</xdr:colOff>
                    <xdr:row>3</xdr:row>
                    <xdr:rowOff>9525</xdr:rowOff>
                  </from>
                  <to>
                    <xdr:col>9</xdr:col>
                    <xdr:colOff>19050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20BC-DB9B-4DE5-80BB-A11281FB46C4}">
  <sheetPr codeName="Feuil5"/>
  <dimension ref="A1:Y47"/>
  <sheetViews>
    <sheetView workbookViewId="0">
      <selection sqref="A1:I2"/>
    </sheetView>
  </sheetViews>
  <sheetFormatPr baseColWidth="10" defaultRowHeight="15" x14ac:dyDescent="0.25"/>
  <cols>
    <col min="1" max="1" width="38.5703125" bestFit="1" customWidth="1"/>
    <col min="2" max="2" width="13.85546875" customWidth="1"/>
    <col min="4" max="4" width="10.85546875" customWidth="1"/>
    <col min="5" max="5" width="14.140625" bestFit="1" customWidth="1"/>
    <col min="25" max="25" width="10.85546875" hidden="1" customWidth="1"/>
  </cols>
  <sheetData>
    <row r="1" spans="1:25" ht="14.45" customHeight="1" x14ac:dyDescent="0.25">
      <c r="A1" s="76" t="s">
        <v>37</v>
      </c>
      <c r="B1" s="82"/>
      <c r="C1" s="82"/>
      <c r="D1" s="82"/>
      <c r="E1" s="82"/>
      <c r="F1" s="82"/>
      <c r="G1" s="82"/>
      <c r="H1" s="82"/>
      <c r="I1" s="83"/>
    </row>
    <row r="2" spans="1:25" ht="15" customHeight="1" thickBot="1" x14ac:dyDescent="0.3">
      <c r="A2" s="84"/>
      <c r="B2" s="85"/>
      <c r="C2" s="85"/>
      <c r="D2" s="85"/>
      <c r="E2" s="85"/>
      <c r="F2" s="85"/>
      <c r="G2" s="85"/>
      <c r="H2" s="85"/>
      <c r="I2" s="86"/>
    </row>
    <row r="3" spans="1:25" x14ac:dyDescent="0.25">
      <c r="Y3" t="s">
        <v>45</v>
      </c>
    </row>
    <row r="4" spans="1:25" ht="15.75" thickBot="1" x14ac:dyDescent="0.3">
      <c r="Y4" t="s">
        <v>46</v>
      </c>
    </row>
    <row r="5" spans="1:25" ht="19.5" thickBot="1" x14ac:dyDescent="0.4">
      <c r="A5" s="1" t="s">
        <v>1</v>
      </c>
      <c r="B5" s="2" t="s">
        <v>2</v>
      </c>
      <c r="C5" s="46" t="s">
        <v>32</v>
      </c>
      <c r="D5" s="50" t="s">
        <v>3</v>
      </c>
      <c r="E5" s="46" t="s">
        <v>33</v>
      </c>
      <c r="F5" s="3"/>
      <c r="H5" s="9"/>
      <c r="K5" s="30"/>
      <c r="Y5" s="30" t="s">
        <v>5</v>
      </c>
    </row>
    <row r="6" spans="1:25" ht="19.5" thickBot="1" x14ac:dyDescent="0.4">
      <c r="A6" s="3"/>
      <c r="B6" s="2" t="s">
        <v>4</v>
      </c>
      <c r="C6" s="46" t="s">
        <v>32</v>
      </c>
      <c r="D6" s="58"/>
      <c r="E6" s="46" t="s">
        <v>33</v>
      </c>
      <c r="F6" s="3"/>
      <c r="I6" s="3"/>
    </row>
    <row r="7" spans="1:25" ht="15.75" x14ac:dyDescent="0.25">
      <c r="A7" s="3"/>
      <c r="B7" s="4"/>
      <c r="C7" s="3"/>
      <c r="D7" s="3"/>
      <c r="E7" s="3"/>
      <c r="F7" s="3"/>
    </row>
    <row r="8" spans="1:25" ht="16.5" thickBot="1" x14ac:dyDescent="0.3">
      <c r="A8" s="3"/>
      <c r="B8" s="3"/>
      <c r="C8" s="3"/>
      <c r="D8" s="3"/>
      <c r="E8" s="3"/>
      <c r="F8" s="3"/>
    </row>
    <row r="9" spans="1:25" ht="19.5" thickBot="1" x14ac:dyDescent="0.4">
      <c r="A9" s="1" t="s">
        <v>6</v>
      </c>
      <c r="B9" s="5" t="s">
        <v>7</v>
      </c>
      <c r="C9" s="57"/>
      <c r="D9" s="3"/>
      <c r="E9" s="2" t="s">
        <v>34</v>
      </c>
      <c r="F9" s="57"/>
      <c r="H9" s="2" t="s">
        <v>35</v>
      </c>
      <c r="I9" s="57"/>
    </row>
    <row r="10" spans="1:25" ht="19.5" thickBot="1" x14ac:dyDescent="0.3">
      <c r="A10" s="3"/>
      <c r="B10" s="5" t="s">
        <v>8</v>
      </c>
      <c r="C10" s="57"/>
      <c r="D10" s="3"/>
      <c r="E10" s="6" t="s">
        <v>36</v>
      </c>
      <c r="F10" s="57"/>
      <c r="H10" s="6" t="s">
        <v>29</v>
      </c>
      <c r="I10" s="57"/>
    </row>
    <row r="11" spans="1:25" ht="15.75" x14ac:dyDescent="0.25">
      <c r="A11" s="3"/>
      <c r="B11" s="7"/>
      <c r="C11" s="17"/>
      <c r="D11" s="3"/>
      <c r="E11" s="8"/>
      <c r="F11" s="17"/>
      <c r="H11" s="8"/>
      <c r="I11" s="17"/>
    </row>
    <row r="12" spans="1:25" ht="15.75" x14ac:dyDescent="0.25">
      <c r="A12" s="3"/>
      <c r="B12" s="3"/>
      <c r="C12" s="3"/>
      <c r="D12" s="3"/>
      <c r="E12" s="3"/>
      <c r="F12" s="3"/>
    </row>
    <row r="13" spans="1:25" ht="15.75" thickBot="1" x14ac:dyDescent="0.3"/>
    <row r="14" spans="1:25" ht="16.5" thickBot="1" x14ac:dyDescent="0.3">
      <c r="A14" s="1" t="s">
        <v>12</v>
      </c>
      <c r="B14" s="31" t="s">
        <v>67</v>
      </c>
      <c r="C14" s="40" t="s">
        <v>49</v>
      </c>
    </row>
    <row r="15" spans="1:25" ht="15.75" thickBot="1" x14ac:dyDescent="0.3"/>
    <row r="16" spans="1:25" x14ac:dyDescent="0.25">
      <c r="B16" s="31" t="s">
        <v>70</v>
      </c>
      <c r="C16" s="66"/>
      <c r="D16" s="67"/>
      <c r="E16" s="67"/>
      <c r="F16" s="67"/>
      <c r="G16" s="68"/>
    </row>
    <row r="17" spans="1:25" ht="15.75" thickBot="1" x14ac:dyDescent="0.3">
      <c r="C17" s="72"/>
      <c r="D17" s="73"/>
      <c r="E17" s="73"/>
      <c r="F17" s="73"/>
      <c r="G17" s="74"/>
    </row>
    <row r="19" spans="1:25" ht="15.75" thickBot="1" x14ac:dyDescent="0.3"/>
    <row r="20" spans="1:25" ht="16.5" thickBot="1" x14ac:dyDescent="0.3">
      <c r="A20" s="1" t="s">
        <v>42</v>
      </c>
      <c r="C20" s="41" t="str">
        <f>IF(OR(F9="",F10="",I9="",I10=""),"",SQRT(F9*(1-F9)/F10+I9*(1-I9)/I10))</f>
        <v/>
      </c>
    </row>
    <row r="22" spans="1:25" ht="15.75" thickBot="1" x14ac:dyDescent="0.3"/>
    <row r="23" spans="1:25" ht="16.5" thickBot="1" x14ac:dyDescent="0.3">
      <c r="A23" s="1" t="s">
        <v>15</v>
      </c>
      <c r="B23" s="9"/>
    </row>
    <row r="24" spans="1:25" ht="18" x14ac:dyDescent="0.35">
      <c r="K24" s="36"/>
      <c r="Y24" s="36" t="s">
        <v>54</v>
      </c>
    </row>
    <row r="25" spans="1:25" ht="18.75" thickBot="1" x14ac:dyDescent="0.4">
      <c r="B25" s="2"/>
      <c r="D25" s="22"/>
      <c r="F25" s="22"/>
      <c r="Y25" t="s">
        <v>52</v>
      </c>
    </row>
    <row r="26" spans="1:25" ht="18.75" thickBot="1" x14ac:dyDescent="0.4">
      <c r="A26" s="10" t="s">
        <v>17</v>
      </c>
      <c r="B26" s="60"/>
      <c r="C26" s="11" t="s">
        <v>3</v>
      </c>
      <c r="D26" s="41" t="str" cm="1">
        <f t="array" ref="D26">_xlfn.IFS(OR(D6="",C9=""),"",D6="&lt;",_xlfn.NORM.INV(C9,0,1),D6="&gt;",_xlfn.NORM.INV(1-C9,0,1),AND(D6&lt;&gt;"&lt;",D6&lt;&gt;"&gt;"),_xlfn.NORM.INV(1-C9/2,0,1))</f>
        <v/>
      </c>
      <c r="F26" s="18"/>
      <c r="G26" s="12"/>
      <c r="Y26" t="s">
        <v>53</v>
      </c>
    </row>
    <row r="27" spans="1:25" ht="16.5" thickBot="1" x14ac:dyDescent="0.3">
      <c r="A27" s="10"/>
      <c r="B27" s="2"/>
      <c r="C27" s="11"/>
      <c r="H27" s="13"/>
      <c r="I27" s="13"/>
    </row>
    <row r="28" spans="1:25" ht="19.5" thickBot="1" x14ac:dyDescent="0.4">
      <c r="A28" s="10"/>
      <c r="B28" s="32" t="s">
        <v>61</v>
      </c>
      <c r="C28" s="39" t="s">
        <v>66</v>
      </c>
      <c r="D28" s="33" t="s">
        <v>50</v>
      </c>
      <c r="E28" s="63"/>
      <c r="F28" s="41" t="str" cm="1">
        <f t="array" ref="F28">_xlfn.IFS(D26="","",D26&lt;&gt;"",D26)</f>
        <v/>
      </c>
      <c r="G28" s="65"/>
      <c r="H28" s="18"/>
      <c r="I28" s="18"/>
    </row>
    <row r="29" spans="1:25" ht="15.75" x14ac:dyDescent="0.25">
      <c r="A29" s="10"/>
      <c r="B29" s="4"/>
      <c r="C29" s="4"/>
      <c r="D29" s="4"/>
      <c r="E29" s="13"/>
      <c r="F29" s="13"/>
      <c r="G29" s="13"/>
      <c r="H29" s="13"/>
      <c r="I29" s="13"/>
    </row>
    <row r="31" spans="1:25" ht="18.75" x14ac:dyDescent="0.35">
      <c r="A31" s="10" t="s">
        <v>18</v>
      </c>
      <c r="B31" s="75" t="s">
        <v>24</v>
      </c>
      <c r="C31" s="75"/>
      <c r="D31" s="75"/>
      <c r="E31" s="75"/>
      <c r="F31" s="46" t="str" cm="1">
        <f t="array" ref="F31">_xlfn.IFS(C9="","",C9&lt;&gt;"",C9)</f>
        <v/>
      </c>
      <c r="G31" s="21"/>
      <c r="H31" s="21"/>
      <c r="I31" s="21"/>
    </row>
    <row r="33" spans="1:25" x14ac:dyDescent="0.25">
      <c r="Y33" t="s">
        <v>71</v>
      </c>
    </row>
    <row r="34" spans="1:25" ht="15.75" thickBot="1" x14ac:dyDescent="0.3">
      <c r="Y34" t="s">
        <v>72</v>
      </c>
    </row>
    <row r="35" spans="1:25" ht="16.5" thickBot="1" x14ac:dyDescent="0.3">
      <c r="A35" s="14" t="s">
        <v>19</v>
      </c>
      <c r="B35" s="2"/>
      <c r="Y35" t="s">
        <v>73</v>
      </c>
    </row>
    <row r="36" spans="1:25" ht="15.75" x14ac:dyDescent="0.25">
      <c r="A36" s="15"/>
      <c r="B36" s="2"/>
      <c r="D36" s="12"/>
    </row>
    <row r="37" spans="1:25" ht="18.75" x14ac:dyDescent="0.35">
      <c r="A37" s="10" t="s">
        <v>20</v>
      </c>
      <c r="B37" s="2" t="s">
        <v>21</v>
      </c>
      <c r="C37" s="11" t="s">
        <v>3</v>
      </c>
      <c r="D37" s="49" t="str" cm="1">
        <f t="array" ref="D37">_xlfn.IFS(OR(C28="",F9="",I9="",C20=""),"",C28="zobs",(F9-I9)/C20,C28="|zobs|",ABS((F9-I9)/C20))</f>
        <v/>
      </c>
    </row>
    <row r="38" spans="1:25" ht="15.75" x14ac:dyDescent="0.25">
      <c r="A38" s="15"/>
      <c r="B38" s="2"/>
    </row>
    <row r="39" spans="1:25" ht="15.75" x14ac:dyDescent="0.25">
      <c r="A39" s="16" t="s">
        <v>18</v>
      </c>
      <c r="B39" s="2" t="s">
        <v>44</v>
      </c>
      <c r="C39" s="11" t="s">
        <v>3</v>
      </c>
      <c r="D39" s="41" t="str" cm="1">
        <f t="array" ref="D39">_xlfn.IFS(OR(D6="",F9="",I9="",C20=""),"",D6="&gt;",1-_xlfn.NORM.DIST(F9,I9,C20,TRUE),D6="&lt;",_xlfn.NORM.DIST(F9,I9,C20,TRUE),AND(D6&lt;&gt;"&lt;",D6&lt;&gt;"&gt;"),2*MIN(1-_xlfn.NORM.DIST(F9,I9,C20,TRUE),_xlfn.NORM.DIST(F9,I9,C20,TRUE)))</f>
        <v/>
      </c>
    </row>
    <row r="41" spans="1:25" ht="15.75" thickBot="1" x14ac:dyDescent="0.3"/>
    <row r="42" spans="1:25" ht="16.5" thickBot="1" x14ac:dyDescent="0.3">
      <c r="A42" s="1" t="s">
        <v>22</v>
      </c>
    </row>
    <row r="43" spans="1:25" ht="15.75" thickBot="1" x14ac:dyDescent="0.3"/>
    <row r="44" spans="1:25" x14ac:dyDescent="0.25">
      <c r="A44" s="66"/>
      <c r="B44" s="67"/>
      <c r="C44" s="67"/>
      <c r="D44" s="67"/>
      <c r="E44" s="67"/>
      <c r="F44" s="67"/>
      <c r="G44" s="68"/>
    </row>
    <row r="45" spans="1:25" x14ac:dyDescent="0.25">
      <c r="A45" s="69"/>
      <c r="B45" s="70"/>
      <c r="C45" s="70"/>
      <c r="D45" s="70"/>
      <c r="E45" s="70"/>
      <c r="F45" s="70"/>
      <c r="G45" s="71"/>
    </row>
    <row r="46" spans="1:25" x14ac:dyDescent="0.25">
      <c r="A46" s="69"/>
      <c r="B46" s="70"/>
      <c r="C46" s="70"/>
      <c r="D46" s="70"/>
      <c r="E46" s="70"/>
      <c r="F46" s="70"/>
      <c r="G46" s="71"/>
    </row>
    <row r="47" spans="1:25" ht="15.75" thickBot="1" x14ac:dyDescent="0.3">
      <c r="A47" s="72"/>
      <c r="B47" s="73"/>
      <c r="C47" s="73"/>
      <c r="D47" s="73"/>
      <c r="E47" s="73"/>
      <c r="F47" s="73"/>
      <c r="G47" s="74"/>
    </row>
  </sheetData>
  <sheetProtection sheet="1" objects="1" scenarios="1"/>
  <mergeCells count="4">
    <mergeCell ref="A1:I2"/>
    <mergeCell ref="A44:G47"/>
    <mergeCell ref="C16:G17"/>
    <mergeCell ref="B31:E31"/>
  </mergeCells>
  <dataValidations count="6">
    <dataValidation type="list" allowBlank="1" showInputMessage="1" showErrorMessage="1" prompt="Sélectionner le symbole voulu." sqref="D6" xr:uid="{E814959E-5B64-4EE0-85F5-1D57B4E6C976}">
      <formula1>$Y$3:$Y$5</formula1>
    </dataValidation>
    <dataValidation allowBlank="1" showInputMessage="1" showErrorMessage="1" prompt="Si la taille de la population est inconnue et assumée infinie, taper &quot;grande&quot;._x000a_" sqref="C10" xr:uid="{47273641-2319-4491-8F2E-B76F4E7A3922}"/>
    <dataValidation allowBlank="1" showInputMessage="1" showErrorMessage="1" prompt="Justifier la loi choisie._x000a_" sqref="C16:G17" xr:uid="{3B651E2B-C605-423A-BDD9-E779235AD0C5}"/>
    <dataValidation type="list" allowBlank="1" showInputMessage="1" showErrorMessage="1" prompt="Sélectionner la statistique appropriée pour le test." sqref="B26" xr:uid="{E99B4FD2-307F-4AC5-8F23-3F84FF450153}">
      <formula1>$Y$24:$Y$26</formula1>
    </dataValidation>
    <dataValidation type="list" allowBlank="1" showInputMessage="1" showErrorMessage="1" prompt="Sélectionner le symbole approprié." sqref="E28" xr:uid="{1B823B2B-D09C-4EF0-801F-2C036039A479}">
      <formula1>$Y$33:$Y$35</formula1>
    </dataValidation>
    <dataValidation allowBlank="1" showInputMessage="1" showErrorMessage="1" prompt="La proportion doit être écrite en décimale. La valeur doit donc être entre 0 et 1._x000a_" sqref="F9 I9" xr:uid="{970ED23A-79E8-40C8-A66E-32658BB0415F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0]!EffacerCellulesGrisesDeuxProp">
                <anchor moveWithCells="1" sizeWithCells="1">
                  <from>
                    <xdr:col>6</xdr:col>
                    <xdr:colOff>9525</xdr:colOff>
                    <xdr:row>3</xdr:row>
                    <xdr:rowOff>28575</xdr:rowOff>
                  </from>
                  <to>
                    <xdr:col>8</xdr:col>
                    <xdr:colOff>733425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Une moyenne</vt:lpstr>
      <vt:lpstr>Une proportion (normale)</vt:lpstr>
      <vt:lpstr>2 moyennes indépendantes</vt:lpstr>
      <vt:lpstr>2 moyennes dépendantes</vt:lpstr>
      <vt:lpstr>2 proportions</vt:lpstr>
    </vt:vector>
  </TitlesOfParts>
  <Company>Cégep Gérald Godin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Yasmine Tawfik</dc:creator>
  <cp:lastModifiedBy>Jean-Sébastien Turcotte</cp:lastModifiedBy>
  <dcterms:created xsi:type="dcterms:W3CDTF">2024-10-14T16:05:38Z</dcterms:created>
  <dcterms:modified xsi:type="dcterms:W3CDTF">2025-03-28T19:48:03Z</dcterms:modified>
</cp:coreProperties>
</file>